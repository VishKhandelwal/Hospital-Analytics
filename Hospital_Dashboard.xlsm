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https://d.docs.live.net/2591b78a1f98177e/Documents/"/>
    </mc:Choice>
  </mc:AlternateContent>
  <xr:revisionPtr revIDLastSave="1" documentId="13_ncr:20001_{92245C9F-B4CF-433C-BC51-AF7BA9D587D9}" xr6:coauthVersionLast="47" xr6:coauthVersionMax="47" xr10:uidLastSave="{F92A71B2-17DE-448F-9665-4879B9AC8597}"/>
  <bookViews>
    <workbookView xWindow="-110" yWindow="-110" windowWidth="19420" windowHeight="10300" activeTab="1" xr2:uid="{00407AEC-D310-4ACF-98BA-8618FC12F74A}"/>
  </bookViews>
  <sheets>
    <sheet name="Pivot Table" sheetId="2" r:id="rId1"/>
    <sheet name="Dashboard" sheetId="3" r:id="rId2"/>
    <sheet name="Hospital_Data" sheetId="1" r:id="rId3"/>
  </sheets>
  <calcPr calcId="0"/>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Lst>
</workbook>
</file>

<file path=xl/sharedStrings.xml><?xml version="1.0" encoding="utf-8"?>
<sst xmlns="http://schemas.openxmlformats.org/spreadsheetml/2006/main" count="367" uniqueCount="59">
  <si>
    <t>Hospital Name</t>
  </si>
  <si>
    <t>Location</t>
  </si>
  <si>
    <t>Department</t>
  </si>
  <si>
    <t>Doctors Count</t>
  </si>
  <si>
    <t>Patients Count</t>
  </si>
  <si>
    <t>Admission Date</t>
  </si>
  <si>
    <t>Discharge Date</t>
  </si>
  <si>
    <t>Medical Expenses</t>
  </si>
  <si>
    <t>Wellness Clinic</t>
  </si>
  <si>
    <t>Chennai</t>
  </si>
  <si>
    <t>Orthopedics</t>
  </si>
  <si>
    <t>Fortis Care</t>
  </si>
  <si>
    <t>Pune</t>
  </si>
  <si>
    <t>ENT</t>
  </si>
  <si>
    <t>Ahmedabad</t>
  </si>
  <si>
    <t>Pediatrics</t>
  </si>
  <si>
    <t>Heritage Hospital</t>
  </si>
  <si>
    <t>Hyderabad</t>
  </si>
  <si>
    <t>Urology</t>
  </si>
  <si>
    <t>City Hospital</t>
  </si>
  <si>
    <t>Kolkata</t>
  </si>
  <si>
    <t>Gynecology</t>
  </si>
  <si>
    <t>Oncology</t>
  </si>
  <si>
    <t>Global Medicare</t>
  </si>
  <si>
    <t>Apollo Health</t>
  </si>
  <si>
    <t>Jaipur</t>
  </si>
  <si>
    <t>General Medicine</t>
  </si>
  <si>
    <t>Green Valley Hospital</t>
  </si>
  <si>
    <t>Healing Touch</t>
  </si>
  <si>
    <t>Mumbai</t>
  </si>
  <si>
    <t>Dermatology</t>
  </si>
  <si>
    <t>Lucknow</t>
  </si>
  <si>
    <t>Cardiology</t>
  </si>
  <si>
    <t>Sunrise Medical</t>
  </si>
  <si>
    <t>Neurology</t>
  </si>
  <si>
    <t>Delhi</t>
  </si>
  <si>
    <t>Metro Hospital</t>
  </si>
  <si>
    <t>Bangalore</t>
  </si>
  <si>
    <t>Row Labels</t>
  </si>
  <si>
    <t>Sum of Patients Count</t>
  </si>
  <si>
    <t>Column Labels</t>
  </si>
  <si>
    <t>Jan</t>
  </si>
  <si>
    <t>Mar</t>
  </si>
  <si>
    <t>Apr</t>
  </si>
  <si>
    <t>Jul</t>
  </si>
  <si>
    <t>Sep</t>
  </si>
  <si>
    <t>Oct</t>
  </si>
  <si>
    <t>Nov</t>
  </si>
  <si>
    <t>Dec</t>
  </si>
  <si>
    <t>Departments</t>
  </si>
  <si>
    <t>Total Patients</t>
  </si>
  <si>
    <t>Column1</t>
  </si>
  <si>
    <t>Column2</t>
  </si>
  <si>
    <t>Column3</t>
  </si>
  <si>
    <t>Column4</t>
  </si>
  <si>
    <t>Column5</t>
  </si>
  <si>
    <t>Column6</t>
  </si>
  <si>
    <t>Column7</t>
  </si>
  <si>
    <t>Column8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</si>
</sst>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0"/>
      <color rgb="FF0058A6"/>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249977111117893"/>
        <bgColor indexed="64"/>
      </patternFill>
    </fill>
    <fill>
      <patternFill patternType="solid">
        <fgColor theme="4"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9">
    <xf numFmtId="0" fontId="0" fillId="0" borderId="0" xfId="0"/>
    <xf numFmtId="14" fontId="0" fillId="0" borderId="0" xfId="0" applyNumberFormat="1"/>
    <xf numFmtId="0" fontId="0" fillId="33" borderId="0" xfId="0" applyFill="1"/>
    <xf numFmtId="14" fontId="0" fillId="33" borderId="0" xfId="0" applyNumberFormat="1" applyFill="1"/>
    <xf numFmtId="0" fontId="0" fillId="0" borderId="0" xfId="0" pivotButton="1"/>
    <xf numFmtId="0" fontId="0" fillId="0" borderId="0" xfId="0" applyAlignment="1">
      <alignment horizontal="left"/>
    </xf>
    <xf numFmtId="0" fontId="18" fillId="34" borderId="0" xfId="0" applyFont="1" applyFill="1"/>
    <xf numFmtId="0" fontId="0" fillId="34" borderId="0" xfId="0" applyFill="1"/>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numFmt numFmtId="19" formatCode="dd/mm/yyyy"/>
    </dxf>
    <dxf>
      <numFmt numFmtId="19" formatCode="dd/mm/yyyy"/>
    </dxf>
    <dxf>
      <fill>
        <patternFill patternType="solid">
          <fgColor indexed="64"/>
          <bgColor theme="7" tint="-0.24997711111789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ustomXml" Target="../customXml/item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Table!PivotTable5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Hospital Performance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Table'!$Y$15:$Y$16</c:f>
              <c:strCache>
                <c:ptCount val="1"/>
                <c:pt idx="0">
                  <c:v>Cardiology</c:v>
                </c:pt>
              </c:strCache>
            </c:strRef>
          </c:tx>
          <c:spPr>
            <a:solidFill>
              <a:schemeClr val="accent1"/>
            </a:solidFill>
            <a:ln>
              <a:noFill/>
            </a:ln>
            <a:effectLst/>
          </c:spPr>
          <c:invertIfNegative val="0"/>
          <c:cat>
            <c:strRef>
              <c:f>'Pivot Table'!$X$17:$X$22</c:f>
              <c:strCache>
                <c:ptCount val="6"/>
                <c:pt idx="0">
                  <c:v>Apollo Health</c:v>
                </c:pt>
                <c:pt idx="1">
                  <c:v>Fortis Care</c:v>
                </c:pt>
                <c:pt idx="2">
                  <c:v>Global Medicare</c:v>
                </c:pt>
                <c:pt idx="3">
                  <c:v>Green Valley Hospital</c:v>
                </c:pt>
                <c:pt idx="4">
                  <c:v>Healing Touch</c:v>
                </c:pt>
                <c:pt idx="5">
                  <c:v>Sunrise Medical</c:v>
                </c:pt>
              </c:strCache>
            </c:strRef>
          </c:cat>
          <c:val>
            <c:numRef>
              <c:f>'Pivot Table'!$Y$17:$Y$22</c:f>
              <c:numCache>
                <c:formatCode>General</c:formatCode>
                <c:ptCount val="6"/>
                <c:pt idx="4">
                  <c:v>55</c:v>
                </c:pt>
              </c:numCache>
            </c:numRef>
          </c:val>
          <c:extLst>
            <c:ext xmlns:c16="http://schemas.microsoft.com/office/drawing/2014/chart" uri="{C3380CC4-5D6E-409C-BE32-E72D297353CC}">
              <c16:uniqueId val="{0000000B-6846-4267-B196-856919FE3EF3}"/>
            </c:ext>
          </c:extLst>
        </c:ser>
        <c:ser>
          <c:idx val="1"/>
          <c:order val="1"/>
          <c:tx>
            <c:strRef>
              <c:f>'Pivot Table'!$Z$15:$Z$16</c:f>
              <c:strCache>
                <c:ptCount val="1"/>
                <c:pt idx="0">
                  <c:v>ENT</c:v>
                </c:pt>
              </c:strCache>
            </c:strRef>
          </c:tx>
          <c:spPr>
            <a:solidFill>
              <a:schemeClr val="accent2"/>
            </a:solidFill>
            <a:ln>
              <a:noFill/>
            </a:ln>
            <a:effectLst/>
          </c:spPr>
          <c:invertIfNegative val="0"/>
          <c:cat>
            <c:strRef>
              <c:f>'Pivot Table'!$X$17:$X$22</c:f>
              <c:strCache>
                <c:ptCount val="6"/>
                <c:pt idx="0">
                  <c:v>Apollo Health</c:v>
                </c:pt>
                <c:pt idx="1">
                  <c:v>Fortis Care</c:v>
                </c:pt>
                <c:pt idx="2">
                  <c:v>Global Medicare</c:v>
                </c:pt>
                <c:pt idx="3">
                  <c:v>Green Valley Hospital</c:v>
                </c:pt>
                <c:pt idx="4">
                  <c:v>Healing Touch</c:v>
                </c:pt>
                <c:pt idx="5">
                  <c:v>Sunrise Medical</c:v>
                </c:pt>
              </c:strCache>
            </c:strRef>
          </c:cat>
          <c:val>
            <c:numRef>
              <c:f>'Pivot Table'!$Z$17:$Z$22</c:f>
              <c:numCache>
                <c:formatCode>General</c:formatCode>
                <c:ptCount val="6"/>
                <c:pt idx="0">
                  <c:v>59</c:v>
                </c:pt>
                <c:pt idx="1">
                  <c:v>51</c:v>
                </c:pt>
              </c:numCache>
            </c:numRef>
          </c:val>
          <c:extLst>
            <c:ext xmlns:c16="http://schemas.microsoft.com/office/drawing/2014/chart" uri="{C3380CC4-5D6E-409C-BE32-E72D297353CC}">
              <c16:uniqueId val="{0000000F-E83B-4A40-B595-E73871FF188A}"/>
            </c:ext>
          </c:extLst>
        </c:ser>
        <c:ser>
          <c:idx val="2"/>
          <c:order val="2"/>
          <c:tx>
            <c:strRef>
              <c:f>'Pivot Table'!$AA$15:$AA$16</c:f>
              <c:strCache>
                <c:ptCount val="1"/>
                <c:pt idx="0">
                  <c:v>General Medicine</c:v>
                </c:pt>
              </c:strCache>
            </c:strRef>
          </c:tx>
          <c:spPr>
            <a:solidFill>
              <a:schemeClr val="accent3"/>
            </a:solidFill>
            <a:ln>
              <a:noFill/>
            </a:ln>
            <a:effectLst/>
          </c:spPr>
          <c:invertIfNegative val="0"/>
          <c:cat>
            <c:strRef>
              <c:f>'Pivot Table'!$X$17:$X$22</c:f>
              <c:strCache>
                <c:ptCount val="6"/>
                <c:pt idx="0">
                  <c:v>Apollo Health</c:v>
                </c:pt>
                <c:pt idx="1">
                  <c:v>Fortis Care</c:v>
                </c:pt>
                <c:pt idx="2">
                  <c:v>Global Medicare</c:v>
                </c:pt>
                <c:pt idx="3">
                  <c:v>Green Valley Hospital</c:v>
                </c:pt>
                <c:pt idx="4">
                  <c:v>Healing Touch</c:v>
                </c:pt>
                <c:pt idx="5">
                  <c:v>Sunrise Medical</c:v>
                </c:pt>
              </c:strCache>
            </c:strRef>
          </c:cat>
          <c:val>
            <c:numRef>
              <c:f>'Pivot Table'!$AA$17:$AA$22</c:f>
              <c:numCache>
                <c:formatCode>General</c:formatCode>
                <c:ptCount val="6"/>
                <c:pt idx="4">
                  <c:v>25</c:v>
                </c:pt>
              </c:numCache>
            </c:numRef>
          </c:val>
          <c:extLst>
            <c:ext xmlns:c16="http://schemas.microsoft.com/office/drawing/2014/chart" uri="{C3380CC4-5D6E-409C-BE32-E72D297353CC}">
              <c16:uniqueId val="{00000010-E83B-4A40-B595-E73871FF188A}"/>
            </c:ext>
          </c:extLst>
        </c:ser>
        <c:ser>
          <c:idx val="3"/>
          <c:order val="3"/>
          <c:tx>
            <c:strRef>
              <c:f>'Pivot Table'!$AB$15:$AB$16</c:f>
              <c:strCache>
                <c:ptCount val="1"/>
                <c:pt idx="0">
                  <c:v>Oncology</c:v>
                </c:pt>
              </c:strCache>
            </c:strRef>
          </c:tx>
          <c:spPr>
            <a:solidFill>
              <a:schemeClr val="accent4"/>
            </a:solidFill>
            <a:ln>
              <a:noFill/>
            </a:ln>
            <a:effectLst/>
          </c:spPr>
          <c:invertIfNegative val="0"/>
          <c:cat>
            <c:strRef>
              <c:f>'Pivot Table'!$X$17:$X$22</c:f>
              <c:strCache>
                <c:ptCount val="6"/>
                <c:pt idx="0">
                  <c:v>Apollo Health</c:v>
                </c:pt>
                <c:pt idx="1">
                  <c:v>Fortis Care</c:v>
                </c:pt>
                <c:pt idx="2">
                  <c:v>Global Medicare</c:v>
                </c:pt>
                <c:pt idx="3">
                  <c:v>Green Valley Hospital</c:v>
                </c:pt>
                <c:pt idx="4">
                  <c:v>Healing Touch</c:v>
                </c:pt>
                <c:pt idx="5">
                  <c:v>Sunrise Medical</c:v>
                </c:pt>
              </c:strCache>
            </c:strRef>
          </c:cat>
          <c:val>
            <c:numRef>
              <c:f>'Pivot Table'!$AB$17:$AB$22</c:f>
              <c:numCache>
                <c:formatCode>General</c:formatCode>
                <c:ptCount val="6"/>
                <c:pt idx="1">
                  <c:v>47</c:v>
                </c:pt>
              </c:numCache>
            </c:numRef>
          </c:val>
          <c:extLst>
            <c:ext xmlns:c16="http://schemas.microsoft.com/office/drawing/2014/chart" uri="{C3380CC4-5D6E-409C-BE32-E72D297353CC}">
              <c16:uniqueId val="{00000011-E83B-4A40-B595-E73871FF188A}"/>
            </c:ext>
          </c:extLst>
        </c:ser>
        <c:ser>
          <c:idx val="4"/>
          <c:order val="4"/>
          <c:tx>
            <c:strRef>
              <c:f>'Pivot Table'!$AC$15:$AC$16</c:f>
              <c:strCache>
                <c:ptCount val="1"/>
                <c:pt idx="0">
                  <c:v>Orthopedics</c:v>
                </c:pt>
              </c:strCache>
            </c:strRef>
          </c:tx>
          <c:spPr>
            <a:solidFill>
              <a:schemeClr val="accent5"/>
            </a:solidFill>
            <a:ln>
              <a:noFill/>
            </a:ln>
            <a:effectLst/>
          </c:spPr>
          <c:invertIfNegative val="0"/>
          <c:cat>
            <c:strRef>
              <c:f>'Pivot Table'!$X$17:$X$22</c:f>
              <c:strCache>
                <c:ptCount val="6"/>
                <c:pt idx="0">
                  <c:v>Apollo Health</c:v>
                </c:pt>
                <c:pt idx="1">
                  <c:v>Fortis Care</c:v>
                </c:pt>
                <c:pt idx="2">
                  <c:v>Global Medicare</c:v>
                </c:pt>
                <c:pt idx="3">
                  <c:v>Green Valley Hospital</c:v>
                </c:pt>
                <c:pt idx="4">
                  <c:v>Healing Touch</c:v>
                </c:pt>
                <c:pt idx="5">
                  <c:v>Sunrise Medical</c:v>
                </c:pt>
              </c:strCache>
            </c:strRef>
          </c:cat>
          <c:val>
            <c:numRef>
              <c:f>'Pivot Table'!$AC$17:$AC$22</c:f>
              <c:numCache>
                <c:formatCode>General</c:formatCode>
                <c:ptCount val="6"/>
                <c:pt idx="2">
                  <c:v>48</c:v>
                </c:pt>
                <c:pt idx="5">
                  <c:v>122</c:v>
                </c:pt>
              </c:numCache>
            </c:numRef>
          </c:val>
          <c:extLst>
            <c:ext xmlns:c16="http://schemas.microsoft.com/office/drawing/2014/chart" uri="{C3380CC4-5D6E-409C-BE32-E72D297353CC}">
              <c16:uniqueId val="{00000012-E83B-4A40-B595-E73871FF188A}"/>
            </c:ext>
          </c:extLst>
        </c:ser>
        <c:ser>
          <c:idx val="5"/>
          <c:order val="5"/>
          <c:tx>
            <c:strRef>
              <c:f>'Pivot Table'!$AD$15:$AD$16</c:f>
              <c:strCache>
                <c:ptCount val="1"/>
                <c:pt idx="0">
                  <c:v>Pediatrics</c:v>
                </c:pt>
              </c:strCache>
            </c:strRef>
          </c:tx>
          <c:spPr>
            <a:solidFill>
              <a:schemeClr val="accent6"/>
            </a:solidFill>
            <a:ln>
              <a:noFill/>
            </a:ln>
            <a:effectLst/>
          </c:spPr>
          <c:invertIfNegative val="0"/>
          <c:cat>
            <c:strRef>
              <c:f>'Pivot Table'!$X$17:$X$22</c:f>
              <c:strCache>
                <c:ptCount val="6"/>
                <c:pt idx="0">
                  <c:v>Apollo Health</c:v>
                </c:pt>
                <c:pt idx="1">
                  <c:v>Fortis Care</c:v>
                </c:pt>
                <c:pt idx="2">
                  <c:v>Global Medicare</c:v>
                </c:pt>
                <c:pt idx="3">
                  <c:v>Green Valley Hospital</c:v>
                </c:pt>
                <c:pt idx="4">
                  <c:v>Healing Touch</c:v>
                </c:pt>
                <c:pt idx="5">
                  <c:v>Sunrise Medical</c:v>
                </c:pt>
              </c:strCache>
            </c:strRef>
          </c:cat>
          <c:val>
            <c:numRef>
              <c:f>'Pivot Table'!$AD$17:$AD$22</c:f>
              <c:numCache>
                <c:formatCode>General</c:formatCode>
                <c:ptCount val="6"/>
                <c:pt idx="3">
                  <c:v>107</c:v>
                </c:pt>
                <c:pt idx="4">
                  <c:v>41</c:v>
                </c:pt>
              </c:numCache>
            </c:numRef>
          </c:val>
          <c:extLst>
            <c:ext xmlns:c16="http://schemas.microsoft.com/office/drawing/2014/chart" uri="{C3380CC4-5D6E-409C-BE32-E72D297353CC}">
              <c16:uniqueId val="{00000013-E83B-4A40-B595-E73871FF188A}"/>
            </c:ext>
          </c:extLst>
        </c:ser>
        <c:dLbls>
          <c:showLegendKey val="0"/>
          <c:showVal val="0"/>
          <c:showCatName val="0"/>
          <c:showSerName val="0"/>
          <c:showPercent val="0"/>
          <c:showBubbleSize val="0"/>
        </c:dLbls>
        <c:gapWidth val="150"/>
        <c:overlap val="100"/>
        <c:axId val="1048817120"/>
        <c:axId val="1048826720"/>
      </c:barChart>
      <c:catAx>
        <c:axId val="10488171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826720"/>
        <c:crosses val="autoZero"/>
        <c:auto val="1"/>
        <c:lblAlgn val="ctr"/>
        <c:lblOffset val="100"/>
        <c:noMultiLvlLbl val="0"/>
      </c:catAx>
      <c:valAx>
        <c:axId val="10488267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8817120"/>
        <c:crosses val="autoZero"/>
        <c:crossBetween val="between"/>
      </c:valAx>
      <c:spPr>
        <a:noFill/>
        <a:ln>
          <a:solidFill>
            <a:schemeClr val="accent1">
              <a:lumMod val="60000"/>
              <a:lumOff val="40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Table!PivotTable2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Admission Trends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Table'!$E$3</c:f>
              <c:strCache>
                <c:ptCount val="1"/>
                <c:pt idx="0">
                  <c:v>Total</c:v>
                </c:pt>
              </c:strCache>
            </c:strRef>
          </c:tx>
          <c:spPr>
            <a:ln w="28575" cap="rnd">
              <a:solidFill>
                <a:schemeClr val="accent1"/>
              </a:solidFill>
              <a:round/>
            </a:ln>
            <a:effectLst/>
          </c:spPr>
          <c:marker>
            <c:symbol val="none"/>
          </c:marker>
          <c:cat>
            <c:strRef>
              <c:f>'Pivot Table'!$D$4:$D$9</c:f>
              <c:strCache>
                <c:ptCount val="6"/>
                <c:pt idx="0">
                  <c:v>Mar</c:v>
                </c:pt>
                <c:pt idx="1">
                  <c:v>Jul</c:v>
                </c:pt>
                <c:pt idx="2">
                  <c:v>Sep</c:v>
                </c:pt>
                <c:pt idx="3">
                  <c:v>Oct</c:v>
                </c:pt>
                <c:pt idx="4">
                  <c:v>Nov</c:v>
                </c:pt>
                <c:pt idx="5">
                  <c:v>Dec</c:v>
                </c:pt>
              </c:strCache>
            </c:strRef>
          </c:cat>
          <c:val>
            <c:numRef>
              <c:f>'Pivot Table'!$E$4:$E$9</c:f>
              <c:numCache>
                <c:formatCode>General</c:formatCode>
                <c:ptCount val="6"/>
                <c:pt idx="0">
                  <c:v>88</c:v>
                </c:pt>
                <c:pt idx="1">
                  <c:v>48</c:v>
                </c:pt>
                <c:pt idx="2">
                  <c:v>55</c:v>
                </c:pt>
                <c:pt idx="3">
                  <c:v>25</c:v>
                </c:pt>
                <c:pt idx="4">
                  <c:v>181</c:v>
                </c:pt>
                <c:pt idx="5">
                  <c:v>158</c:v>
                </c:pt>
              </c:numCache>
            </c:numRef>
          </c:val>
          <c:smooth val="0"/>
          <c:extLst>
            <c:ext xmlns:c16="http://schemas.microsoft.com/office/drawing/2014/chart" uri="{C3380CC4-5D6E-409C-BE32-E72D297353CC}">
              <c16:uniqueId val="{00000002-66D4-4F58-A4F6-9C4280FCB7AF}"/>
            </c:ext>
          </c:extLst>
        </c:ser>
        <c:dLbls>
          <c:showLegendKey val="0"/>
          <c:showVal val="0"/>
          <c:showCatName val="0"/>
          <c:showSerName val="0"/>
          <c:showPercent val="0"/>
          <c:showBubbleSize val="0"/>
        </c:dLbls>
        <c:smooth val="0"/>
        <c:axId val="1018664368"/>
        <c:axId val="1018657648"/>
      </c:lineChart>
      <c:catAx>
        <c:axId val="1018664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657648"/>
        <c:crosses val="autoZero"/>
        <c:auto val="1"/>
        <c:lblAlgn val="ctr"/>
        <c:lblOffset val="100"/>
        <c:noMultiLvlLbl val="0"/>
      </c:catAx>
      <c:valAx>
        <c:axId val="1018657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86643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accent1">
          <a:lumMod val="60000"/>
          <a:lumOff val="40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Table!PivotTable1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Department Wise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Table'!$A$4:$A$9</c:f>
              <c:strCache>
                <c:ptCount val="6"/>
                <c:pt idx="0">
                  <c:v>Cardiology</c:v>
                </c:pt>
                <c:pt idx="1">
                  <c:v>ENT</c:v>
                </c:pt>
                <c:pt idx="2">
                  <c:v>General Medicine</c:v>
                </c:pt>
                <c:pt idx="3">
                  <c:v>Oncology</c:v>
                </c:pt>
                <c:pt idx="4">
                  <c:v>Orthopedics</c:v>
                </c:pt>
                <c:pt idx="5">
                  <c:v>Pediatrics</c:v>
                </c:pt>
              </c:strCache>
            </c:strRef>
          </c:cat>
          <c:val>
            <c:numRef>
              <c:f>'Pivot Table'!$B$4:$B$9</c:f>
              <c:numCache>
                <c:formatCode>General</c:formatCode>
                <c:ptCount val="6"/>
                <c:pt idx="0">
                  <c:v>55</c:v>
                </c:pt>
                <c:pt idx="1">
                  <c:v>110</c:v>
                </c:pt>
                <c:pt idx="2">
                  <c:v>25</c:v>
                </c:pt>
                <c:pt idx="3">
                  <c:v>47</c:v>
                </c:pt>
                <c:pt idx="4">
                  <c:v>170</c:v>
                </c:pt>
                <c:pt idx="5">
                  <c:v>148</c:v>
                </c:pt>
              </c:numCache>
            </c:numRef>
          </c:val>
          <c:extLst>
            <c:ext xmlns:c16="http://schemas.microsoft.com/office/drawing/2014/chart" uri="{C3380CC4-5D6E-409C-BE32-E72D297353CC}">
              <c16:uniqueId val="{00000002-1434-49A8-B204-F1F4344BBB1F}"/>
            </c:ext>
          </c:extLst>
        </c:ser>
        <c:dLbls>
          <c:dLblPos val="outEnd"/>
          <c:showLegendKey val="0"/>
          <c:showVal val="1"/>
          <c:showCatName val="0"/>
          <c:showSerName val="0"/>
          <c:showPercent val="0"/>
          <c:showBubbleSize val="0"/>
        </c:dLbls>
        <c:gapWidth val="219"/>
        <c:overlap val="-27"/>
        <c:axId val="701371664"/>
        <c:axId val="701380784"/>
      </c:barChart>
      <c:catAx>
        <c:axId val="701371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380784"/>
        <c:crosses val="autoZero"/>
        <c:auto val="1"/>
        <c:lblAlgn val="ctr"/>
        <c:lblOffset val="100"/>
        <c:noMultiLvlLbl val="0"/>
      </c:catAx>
      <c:valAx>
        <c:axId val="7013807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1371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accent1">
          <a:lumMod val="60000"/>
          <a:lumOff val="40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[Hospital_Dashboard.xlsm]Pivot Table!PivotTable11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Patients Flow By 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pieChart>
        <c:varyColors val="1"/>
        <c:ser>
          <c:idx val="0"/>
          <c:order val="0"/>
          <c:tx>
            <c:strRef>
              <c:f>'Pivot Table'!$B$16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3E3-46B7-92A0-B9E7EBCA78C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3E3-46B7-92A0-B9E7EBCA78C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3E3-46B7-92A0-B9E7EBCA78C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3E3-46B7-92A0-B9E7EBCA78C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3E3-46B7-92A0-B9E7EBCA78C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3E3-46B7-92A0-B9E7EBCA78C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3E3-46B7-92A0-B9E7EBCA78C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E3E3-46B7-92A0-B9E7EBCA78C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E3E3-46B7-92A0-B9E7EBCA78C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E3E3-46B7-92A0-B9E7EBCA78C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E3E3-46B7-92A0-B9E7EBCA78C5}"/>
              </c:ext>
            </c:extLst>
          </c:dPt>
          <c:cat>
            <c:strRef>
              <c:f>'Pivot Table'!$A$17</c:f>
              <c:strCache>
                <c:ptCount val="1"/>
                <c:pt idx="0">
                  <c:v>Pune</c:v>
                </c:pt>
              </c:strCache>
            </c:strRef>
          </c:cat>
          <c:val>
            <c:numRef>
              <c:f>'Pivot Table'!$B$17</c:f>
              <c:numCache>
                <c:formatCode>General</c:formatCode>
                <c:ptCount val="1"/>
                <c:pt idx="0">
                  <c:v>555</c:v>
                </c:pt>
              </c:numCache>
            </c:numRef>
          </c:val>
          <c:extLst>
            <c:ext xmlns:c16="http://schemas.microsoft.com/office/drawing/2014/chart" uri="{C3380CC4-5D6E-409C-BE32-E72D297353CC}">
              <c16:uniqueId val="{00000018-562A-434A-8CF6-D4CC13B464F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accent1">
          <a:lumMod val="60000"/>
          <a:lumOff val="4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Patient Discharge Rate Analysis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2023 - Jan</c:v>
          </c:tx>
          <c:spPr>
            <a:solidFill>
              <a:schemeClr val="accent1"/>
            </a:solidFill>
            <a:ln>
              <a:noFill/>
            </a:ln>
            <a:effectLst/>
          </c:spPr>
          <c:invertIfNegative val="0"/>
          <c:cat>
            <c:strLit>
              <c:ptCount val="12"/>
              <c:pt idx="0">
                <c:v>2023 Jan</c:v>
              </c:pt>
              <c:pt idx="1">
                <c:v>2023 Feb</c:v>
              </c:pt>
              <c:pt idx="2">
                <c:v>2023 Mar</c:v>
              </c:pt>
              <c:pt idx="3">
                <c:v>2023 Apr</c:v>
              </c:pt>
              <c:pt idx="4">
                <c:v>2023 May</c:v>
              </c:pt>
              <c:pt idx="5">
                <c:v>2023 Jun</c:v>
              </c:pt>
              <c:pt idx="6">
                <c:v>2023 Jul</c:v>
              </c:pt>
              <c:pt idx="7">
                <c:v>2023 Aug</c:v>
              </c:pt>
              <c:pt idx="8">
                <c:v>2023 Sep</c:v>
              </c:pt>
              <c:pt idx="9">
                <c:v>2023 Oct</c:v>
              </c:pt>
              <c:pt idx="10">
                <c:v>2023 Nov</c:v>
              </c:pt>
              <c:pt idx="11">
                <c:v>2023 Dec</c:v>
              </c:pt>
            </c:strLit>
          </c:cat>
          <c:val>
            <c:numLit>
              <c:formatCode>General</c:formatCode>
              <c:ptCount val="12"/>
              <c:pt idx="0">
                <c:v>307</c:v>
              </c:pt>
              <c:pt idx="1">
                <c:v>0</c:v>
              </c:pt>
              <c:pt idx="2">
                <c:v>0</c:v>
              </c:pt>
              <c:pt idx="3">
                <c:v>0</c:v>
              </c:pt>
              <c:pt idx="4">
                <c:v>0</c:v>
              </c:pt>
              <c:pt idx="5">
                <c:v>0</c:v>
              </c:pt>
              <c:pt idx="6">
                <c:v>0</c:v>
              </c:pt>
              <c:pt idx="7">
                <c:v>0</c:v>
              </c:pt>
              <c:pt idx="8">
                <c:v>0</c:v>
              </c:pt>
              <c:pt idx="9">
                <c:v>0</c:v>
              </c:pt>
              <c:pt idx="10">
                <c:v>0</c:v>
              </c:pt>
              <c:pt idx="11">
                <c:v>0</c:v>
              </c:pt>
            </c:numLit>
          </c:val>
          <c:extLst>
            <c:ext xmlns:c16="http://schemas.microsoft.com/office/drawing/2014/chart" uri="{C3380CC4-5D6E-409C-BE32-E72D297353CC}">
              <c16:uniqueId val="{00000000-2289-4A98-8E2B-FA4EAD7106E7}"/>
            </c:ext>
          </c:extLst>
        </c:ser>
        <c:ser>
          <c:idx val="1"/>
          <c:order val="1"/>
          <c:tx>
            <c:v>2023 - Feb</c:v>
          </c:tx>
          <c:spPr>
            <a:solidFill>
              <a:schemeClr val="accent2"/>
            </a:solidFill>
            <a:ln>
              <a:noFill/>
            </a:ln>
            <a:effectLst/>
          </c:spPr>
          <c:invertIfNegative val="0"/>
          <c:cat>
            <c:strLit>
              <c:ptCount val="12"/>
              <c:pt idx="0">
                <c:v>2023 Jan</c:v>
              </c:pt>
              <c:pt idx="1">
                <c:v>2023 Feb</c:v>
              </c:pt>
              <c:pt idx="2">
                <c:v>2023 Mar</c:v>
              </c:pt>
              <c:pt idx="3">
                <c:v>2023 Apr</c:v>
              </c:pt>
              <c:pt idx="4">
                <c:v>2023 May</c:v>
              </c:pt>
              <c:pt idx="5">
                <c:v>2023 Jun</c:v>
              </c:pt>
              <c:pt idx="6">
                <c:v>2023 Jul</c:v>
              </c:pt>
              <c:pt idx="7">
                <c:v>2023 Aug</c:v>
              </c:pt>
              <c:pt idx="8">
                <c:v>2023 Sep</c:v>
              </c:pt>
              <c:pt idx="9">
                <c:v>2023 Oct</c:v>
              </c:pt>
              <c:pt idx="10">
                <c:v>2023 Nov</c:v>
              </c:pt>
              <c:pt idx="11">
                <c:v>2023 Dec</c:v>
              </c:pt>
            </c:strLit>
          </c:cat>
          <c:val>
            <c:numLit>
              <c:formatCode>General</c:formatCode>
              <c:ptCount val="12"/>
              <c:pt idx="0">
                <c:v>227</c:v>
              </c:pt>
              <c:pt idx="1">
                <c:v>863</c:v>
              </c:pt>
              <c:pt idx="2">
                <c:v>0</c:v>
              </c:pt>
              <c:pt idx="3">
                <c:v>0</c:v>
              </c:pt>
              <c:pt idx="4">
                <c:v>0</c:v>
              </c:pt>
              <c:pt idx="5">
                <c:v>0</c:v>
              </c:pt>
              <c:pt idx="6">
                <c:v>0</c:v>
              </c:pt>
              <c:pt idx="7">
                <c:v>0</c:v>
              </c:pt>
              <c:pt idx="8">
                <c:v>0</c:v>
              </c:pt>
              <c:pt idx="9">
                <c:v>0</c:v>
              </c:pt>
              <c:pt idx="10">
                <c:v>0</c:v>
              </c:pt>
              <c:pt idx="11">
                <c:v>0</c:v>
              </c:pt>
            </c:numLit>
          </c:val>
          <c:extLst>
            <c:ext xmlns:c16="http://schemas.microsoft.com/office/drawing/2014/chart" uri="{C3380CC4-5D6E-409C-BE32-E72D297353CC}">
              <c16:uniqueId val="{00000001-2289-4A98-8E2B-FA4EAD7106E7}"/>
            </c:ext>
          </c:extLst>
        </c:ser>
        <c:ser>
          <c:idx val="2"/>
          <c:order val="2"/>
          <c:tx>
            <c:v>2023 - Mar</c:v>
          </c:tx>
          <c:spPr>
            <a:solidFill>
              <a:schemeClr val="accent3"/>
            </a:solidFill>
            <a:ln>
              <a:noFill/>
            </a:ln>
            <a:effectLst/>
          </c:spPr>
          <c:invertIfNegative val="0"/>
          <c:cat>
            <c:strLit>
              <c:ptCount val="12"/>
              <c:pt idx="0">
                <c:v>2023 Jan</c:v>
              </c:pt>
              <c:pt idx="1">
                <c:v>2023 Feb</c:v>
              </c:pt>
              <c:pt idx="2">
                <c:v>2023 Mar</c:v>
              </c:pt>
              <c:pt idx="3">
                <c:v>2023 Apr</c:v>
              </c:pt>
              <c:pt idx="4">
                <c:v>2023 May</c:v>
              </c:pt>
              <c:pt idx="5">
                <c:v>2023 Jun</c:v>
              </c:pt>
              <c:pt idx="6">
                <c:v>2023 Jul</c:v>
              </c:pt>
              <c:pt idx="7">
                <c:v>2023 Aug</c:v>
              </c:pt>
              <c:pt idx="8">
                <c:v>2023 Sep</c:v>
              </c:pt>
              <c:pt idx="9">
                <c:v>2023 Oct</c:v>
              </c:pt>
              <c:pt idx="10">
                <c:v>2023 Nov</c:v>
              </c:pt>
              <c:pt idx="11">
                <c:v>2023 Dec</c:v>
              </c:pt>
            </c:strLit>
          </c:cat>
          <c:val>
            <c:numLit>
              <c:formatCode>General</c:formatCode>
              <c:ptCount val="12"/>
              <c:pt idx="0">
                <c:v>0</c:v>
              </c:pt>
              <c:pt idx="1">
                <c:v>118</c:v>
              </c:pt>
              <c:pt idx="2">
                <c:v>537</c:v>
              </c:pt>
              <c:pt idx="3">
                <c:v>0</c:v>
              </c:pt>
              <c:pt idx="4">
                <c:v>0</c:v>
              </c:pt>
              <c:pt idx="5">
                <c:v>0</c:v>
              </c:pt>
              <c:pt idx="6">
                <c:v>0</c:v>
              </c:pt>
              <c:pt idx="7">
                <c:v>0</c:v>
              </c:pt>
              <c:pt idx="8">
                <c:v>0</c:v>
              </c:pt>
              <c:pt idx="9">
                <c:v>0</c:v>
              </c:pt>
              <c:pt idx="10">
                <c:v>0</c:v>
              </c:pt>
              <c:pt idx="11">
                <c:v>0</c:v>
              </c:pt>
            </c:numLit>
          </c:val>
          <c:extLst>
            <c:ext xmlns:c16="http://schemas.microsoft.com/office/drawing/2014/chart" uri="{C3380CC4-5D6E-409C-BE32-E72D297353CC}">
              <c16:uniqueId val="{00000002-2289-4A98-8E2B-FA4EAD7106E7}"/>
            </c:ext>
          </c:extLst>
        </c:ser>
        <c:ser>
          <c:idx val="3"/>
          <c:order val="3"/>
          <c:tx>
            <c:v>2023 - Apr</c:v>
          </c:tx>
          <c:spPr>
            <a:solidFill>
              <a:schemeClr val="accent4"/>
            </a:solidFill>
            <a:ln>
              <a:noFill/>
            </a:ln>
            <a:effectLst/>
          </c:spPr>
          <c:invertIfNegative val="0"/>
          <c:cat>
            <c:strLit>
              <c:ptCount val="12"/>
              <c:pt idx="0">
                <c:v>2023 Jan</c:v>
              </c:pt>
              <c:pt idx="1">
                <c:v>2023 Feb</c:v>
              </c:pt>
              <c:pt idx="2">
                <c:v>2023 Mar</c:v>
              </c:pt>
              <c:pt idx="3">
                <c:v>2023 Apr</c:v>
              </c:pt>
              <c:pt idx="4">
                <c:v>2023 May</c:v>
              </c:pt>
              <c:pt idx="5">
                <c:v>2023 Jun</c:v>
              </c:pt>
              <c:pt idx="6">
                <c:v>2023 Jul</c:v>
              </c:pt>
              <c:pt idx="7">
                <c:v>2023 Aug</c:v>
              </c:pt>
              <c:pt idx="8">
                <c:v>2023 Sep</c:v>
              </c:pt>
              <c:pt idx="9">
                <c:v>2023 Oct</c:v>
              </c:pt>
              <c:pt idx="10">
                <c:v>2023 Nov</c:v>
              </c:pt>
              <c:pt idx="11">
                <c:v>2023 Dec</c:v>
              </c:pt>
            </c:strLit>
          </c:cat>
          <c:val>
            <c:numLit>
              <c:formatCode>General</c:formatCode>
              <c:ptCount val="12"/>
              <c:pt idx="0">
                <c:v>0</c:v>
              </c:pt>
              <c:pt idx="1">
                <c:v>0</c:v>
              </c:pt>
              <c:pt idx="2">
                <c:v>106</c:v>
              </c:pt>
              <c:pt idx="3">
                <c:v>490</c:v>
              </c:pt>
              <c:pt idx="4">
                <c:v>0</c:v>
              </c:pt>
              <c:pt idx="5">
                <c:v>0</c:v>
              </c:pt>
              <c:pt idx="6">
                <c:v>0</c:v>
              </c:pt>
              <c:pt idx="7">
                <c:v>0</c:v>
              </c:pt>
              <c:pt idx="8">
                <c:v>0</c:v>
              </c:pt>
              <c:pt idx="9">
                <c:v>0</c:v>
              </c:pt>
              <c:pt idx="10">
                <c:v>0</c:v>
              </c:pt>
              <c:pt idx="11">
                <c:v>0</c:v>
              </c:pt>
            </c:numLit>
          </c:val>
          <c:extLst>
            <c:ext xmlns:c16="http://schemas.microsoft.com/office/drawing/2014/chart" uri="{C3380CC4-5D6E-409C-BE32-E72D297353CC}">
              <c16:uniqueId val="{00000003-2289-4A98-8E2B-FA4EAD7106E7}"/>
            </c:ext>
          </c:extLst>
        </c:ser>
        <c:ser>
          <c:idx val="4"/>
          <c:order val="4"/>
          <c:tx>
            <c:v>2023 - May</c:v>
          </c:tx>
          <c:spPr>
            <a:solidFill>
              <a:schemeClr val="accent5"/>
            </a:solidFill>
            <a:ln>
              <a:noFill/>
            </a:ln>
            <a:effectLst/>
          </c:spPr>
          <c:invertIfNegative val="0"/>
          <c:cat>
            <c:strLit>
              <c:ptCount val="12"/>
              <c:pt idx="0">
                <c:v>2023 Jan</c:v>
              </c:pt>
              <c:pt idx="1">
                <c:v>2023 Feb</c:v>
              </c:pt>
              <c:pt idx="2">
                <c:v>2023 Mar</c:v>
              </c:pt>
              <c:pt idx="3">
                <c:v>2023 Apr</c:v>
              </c:pt>
              <c:pt idx="4">
                <c:v>2023 May</c:v>
              </c:pt>
              <c:pt idx="5">
                <c:v>2023 Jun</c:v>
              </c:pt>
              <c:pt idx="6">
                <c:v>2023 Jul</c:v>
              </c:pt>
              <c:pt idx="7">
                <c:v>2023 Aug</c:v>
              </c:pt>
              <c:pt idx="8">
                <c:v>2023 Sep</c:v>
              </c:pt>
              <c:pt idx="9">
                <c:v>2023 Oct</c:v>
              </c:pt>
              <c:pt idx="10">
                <c:v>2023 Nov</c:v>
              </c:pt>
              <c:pt idx="11">
                <c:v>2023 Dec</c:v>
              </c:pt>
            </c:strLit>
          </c:cat>
          <c:val>
            <c:numLit>
              <c:formatCode>General</c:formatCode>
              <c:ptCount val="12"/>
              <c:pt idx="0">
                <c:v>0</c:v>
              </c:pt>
              <c:pt idx="1">
                <c:v>0</c:v>
              </c:pt>
              <c:pt idx="2">
                <c:v>0</c:v>
              </c:pt>
              <c:pt idx="3">
                <c:v>172</c:v>
              </c:pt>
              <c:pt idx="4">
                <c:v>619</c:v>
              </c:pt>
              <c:pt idx="5">
                <c:v>0</c:v>
              </c:pt>
              <c:pt idx="6">
                <c:v>0</c:v>
              </c:pt>
              <c:pt idx="7">
                <c:v>0</c:v>
              </c:pt>
              <c:pt idx="8">
                <c:v>0</c:v>
              </c:pt>
              <c:pt idx="9">
                <c:v>0</c:v>
              </c:pt>
              <c:pt idx="10">
                <c:v>0</c:v>
              </c:pt>
              <c:pt idx="11">
                <c:v>0</c:v>
              </c:pt>
            </c:numLit>
          </c:val>
          <c:extLst>
            <c:ext xmlns:c16="http://schemas.microsoft.com/office/drawing/2014/chart" uri="{C3380CC4-5D6E-409C-BE32-E72D297353CC}">
              <c16:uniqueId val="{00000004-2289-4A98-8E2B-FA4EAD7106E7}"/>
            </c:ext>
          </c:extLst>
        </c:ser>
        <c:ser>
          <c:idx val="5"/>
          <c:order val="5"/>
          <c:tx>
            <c:v>2023 - Jun</c:v>
          </c:tx>
          <c:spPr>
            <a:solidFill>
              <a:schemeClr val="accent6"/>
            </a:solidFill>
            <a:ln>
              <a:noFill/>
            </a:ln>
            <a:effectLst/>
          </c:spPr>
          <c:invertIfNegative val="0"/>
          <c:cat>
            <c:strLit>
              <c:ptCount val="12"/>
              <c:pt idx="0">
                <c:v>2023 Jan</c:v>
              </c:pt>
              <c:pt idx="1">
                <c:v>2023 Feb</c:v>
              </c:pt>
              <c:pt idx="2">
                <c:v>2023 Mar</c:v>
              </c:pt>
              <c:pt idx="3">
                <c:v>2023 Apr</c:v>
              </c:pt>
              <c:pt idx="4">
                <c:v>2023 May</c:v>
              </c:pt>
              <c:pt idx="5">
                <c:v>2023 Jun</c:v>
              </c:pt>
              <c:pt idx="6">
                <c:v>2023 Jul</c:v>
              </c:pt>
              <c:pt idx="7">
                <c:v>2023 Aug</c:v>
              </c:pt>
              <c:pt idx="8">
                <c:v>2023 Sep</c:v>
              </c:pt>
              <c:pt idx="9">
                <c:v>2023 Oct</c:v>
              </c:pt>
              <c:pt idx="10">
                <c:v>2023 Nov</c:v>
              </c:pt>
              <c:pt idx="11">
                <c:v>2023 Dec</c:v>
              </c:pt>
            </c:strLit>
          </c:cat>
          <c:val>
            <c:numLit>
              <c:formatCode>General</c:formatCode>
              <c:ptCount val="12"/>
              <c:pt idx="0">
                <c:v>0</c:v>
              </c:pt>
              <c:pt idx="1">
                <c:v>0</c:v>
              </c:pt>
              <c:pt idx="2">
                <c:v>0</c:v>
              </c:pt>
              <c:pt idx="3">
                <c:v>0</c:v>
              </c:pt>
              <c:pt idx="4">
                <c:v>0</c:v>
              </c:pt>
              <c:pt idx="5">
                <c:v>681</c:v>
              </c:pt>
              <c:pt idx="6">
                <c:v>0</c:v>
              </c:pt>
              <c:pt idx="7">
                <c:v>0</c:v>
              </c:pt>
              <c:pt idx="8">
                <c:v>0</c:v>
              </c:pt>
              <c:pt idx="9">
                <c:v>0</c:v>
              </c:pt>
              <c:pt idx="10">
                <c:v>0</c:v>
              </c:pt>
              <c:pt idx="11">
                <c:v>0</c:v>
              </c:pt>
            </c:numLit>
          </c:val>
          <c:extLst>
            <c:ext xmlns:c16="http://schemas.microsoft.com/office/drawing/2014/chart" uri="{C3380CC4-5D6E-409C-BE32-E72D297353CC}">
              <c16:uniqueId val="{00000005-2289-4A98-8E2B-FA4EAD7106E7}"/>
            </c:ext>
          </c:extLst>
        </c:ser>
        <c:ser>
          <c:idx val="6"/>
          <c:order val="6"/>
          <c:tx>
            <c:v>2023 - Jul</c:v>
          </c:tx>
          <c:spPr>
            <a:solidFill>
              <a:schemeClr val="accent1">
                <a:lumMod val="60000"/>
              </a:schemeClr>
            </a:solidFill>
            <a:ln>
              <a:noFill/>
            </a:ln>
            <a:effectLst/>
          </c:spPr>
          <c:invertIfNegative val="0"/>
          <c:cat>
            <c:strLit>
              <c:ptCount val="12"/>
              <c:pt idx="0">
                <c:v>2023 Jan</c:v>
              </c:pt>
              <c:pt idx="1">
                <c:v>2023 Feb</c:v>
              </c:pt>
              <c:pt idx="2">
                <c:v>2023 Mar</c:v>
              </c:pt>
              <c:pt idx="3">
                <c:v>2023 Apr</c:v>
              </c:pt>
              <c:pt idx="4">
                <c:v>2023 May</c:v>
              </c:pt>
              <c:pt idx="5">
                <c:v>2023 Jun</c:v>
              </c:pt>
              <c:pt idx="6">
                <c:v>2023 Jul</c:v>
              </c:pt>
              <c:pt idx="7">
                <c:v>2023 Aug</c:v>
              </c:pt>
              <c:pt idx="8">
                <c:v>2023 Sep</c:v>
              </c:pt>
              <c:pt idx="9">
                <c:v>2023 Oct</c:v>
              </c:pt>
              <c:pt idx="10">
                <c:v>2023 Nov</c:v>
              </c:pt>
              <c:pt idx="11">
                <c:v>2023 Dec</c:v>
              </c:pt>
            </c:strLit>
          </c:cat>
          <c:val>
            <c:numLit>
              <c:formatCode>General</c:formatCode>
              <c:ptCount val="12"/>
              <c:pt idx="0">
                <c:v>0</c:v>
              </c:pt>
              <c:pt idx="1">
                <c:v>0</c:v>
              </c:pt>
              <c:pt idx="2">
                <c:v>0</c:v>
              </c:pt>
              <c:pt idx="3">
                <c:v>0</c:v>
              </c:pt>
              <c:pt idx="4">
                <c:v>0</c:v>
              </c:pt>
              <c:pt idx="5">
                <c:v>328</c:v>
              </c:pt>
              <c:pt idx="6">
                <c:v>244</c:v>
              </c:pt>
              <c:pt idx="7">
                <c:v>0</c:v>
              </c:pt>
              <c:pt idx="8">
                <c:v>0</c:v>
              </c:pt>
              <c:pt idx="9">
                <c:v>0</c:v>
              </c:pt>
              <c:pt idx="10">
                <c:v>0</c:v>
              </c:pt>
              <c:pt idx="11">
                <c:v>0</c:v>
              </c:pt>
            </c:numLit>
          </c:val>
          <c:extLst>
            <c:ext xmlns:c16="http://schemas.microsoft.com/office/drawing/2014/chart" uri="{C3380CC4-5D6E-409C-BE32-E72D297353CC}">
              <c16:uniqueId val="{00000006-2289-4A98-8E2B-FA4EAD7106E7}"/>
            </c:ext>
          </c:extLst>
        </c:ser>
        <c:dLbls>
          <c:showLegendKey val="0"/>
          <c:showVal val="0"/>
          <c:showCatName val="0"/>
          <c:showSerName val="0"/>
          <c:showPercent val="0"/>
          <c:showBubbleSize val="0"/>
        </c:dLbls>
        <c:gapWidth val="219"/>
        <c:overlap val="-27"/>
        <c:axId val="1206858032"/>
        <c:axId val="1255430672"/>
      </c:barChart>
      <c:lineChart>
        <c:grouping val="standard"/>
        <c:varyColors val="0"/>
        <c:ser>
          <c:idx val="7"/>
          <c:order val="7"/>
          <c:tx>
            <c:v>2023 - Aug</c:v>
          </c:tx>
          <c:spPr>
            <a:ln w="28575" cap="rnd">
              <a:solidFill>
                <a:schemeClr val="accent2">
                  <a:lumMod val="60000"/>
                </a:schemeClr>
              </a:solidFill>
              <a:round/>
            </a:ln>
            <a:effectLst/>
          </c:spPr>
          <c:marker>
            <c:symbol val="none"/>
          </c:marker>
          <c:cat>
            <c:strLit>
              <c:ptCount val="12"/>
              <c:pt idx="0">
                <c:v>2023 Jan</c:v>
              </c:pt>
              <c:pt idx="1">
                <c:v>2023 Feb</c:v>
              </c:pt>
              <c:pt idx="2">
                <c:v>2023 Mar</c:v>
              </c:pt>
              <c:pt idx="3">
                <c:v>2023 Apr</c:v>
              </c:pt>
              <c:pt idx="4">
                <c:v>2023 May</c:v>
              </c:pt>
              <c:pt idx="5">
                <c:v>2023 Jun</c:v>
              </c:pt>
              <c:pt idx="6">
                <c:v>2023 Jul</c:v>
              </c:pt>
              <c:pt idx="7">
                <c:v>2023 Aug</c:v>
              </c:pt>
              <c:pt idx="8">
                <c:v>2023 Sep</c:v>
              </c:pt>
              <c:pt idx="9">
                <c:v>2023 Oct</c:v>
              </c:pt>
              <c:pt idx="10">
                <c:v>2023 Nov</c:v>
              </c:pt>
              <c:pt idx="11">
                <c:v>2023 Dec</c:v>
              </c:pt>
            </c:strLit>
          </c:cat>
          <c:val>
            <c:numLit>
              <c:formatCode>General</c:formatCode>
              <c:ptCount val="12"/>
              <c:pt idx="0">
                <c:v>0</c:v>
              </c:pt>
              <c:pt idx="1">
                <c:v>0</c:v>
              </c:pt>
              <c:pt idx="2">
                <c:v>0</c:v>
              </c:pt>
              <c:pt idx="3">
                <c:v>0</c:v>
              </c:pt>
              <c:pt idx="4">
                <c:v>0</c:v>
              </c:pt>
              <c:pt idx="5">
                <c:v>0</c:v>
              </c:pt>
              <c:pt idx="6">
                <c:v>161</c:v>
              </c:pt>
              <c:pt idx="7">
                <c:v>708</c:v>
              </c:pt>
              <c:pt idx="8">
                <c:v>0</c:v>
              </c:pt>
              <c:pt idx="9">
                <c:v>0</c:v>
              </c:pt>
              <c:pt idx="10">
                <c:v>0</c:v>
              </c:pt>
              <c:pt idx="11">
                <c:v>0</c:v>
              </c:pt>
            </c:numLit>
          </c:val>
          <c:smooth val="0"/>
          <c:extLst>
            <c:ext xmlns:c16="http://schemas.microsoft.com/office/drawing/2014/chart" uri="{C3380CC4-5D6E-409C-BE32-E72D297353CC}">
              <c16:uniqueId val="{00000007-2289-4A98-8E2B-FA4EAD7106E7}"/>
            </c:ext>
          </c:extLst>
        </c:ser>
        <c:ser>
          <c:idx val="8"/>
          <c:order val="8"/>
          <c:tx>
            <c:v>2023 - Sep</c:v>
          </c:tx>
          <c:spPr>
            <a:ln w="28575" cap="rnd">
              <a:solidFill>
                <a:schemeClr val="accent3">
                  <a:lumMod val="60000"/>
                </a:schemeClr>
              </a:solidFill>
              <a:round/>
            </a:ln>
            <a:effectLst/>
          </c:spPr>
          <c:marker>
            <c:symbol val="none"/>
          </c:marker>
          <c:cat>
            <c:strLit>
              <c:ptCount val="12"/>
              <c:pt idx="0">
                <c:v>2023 Jan</c:v>
              </c:pt>
              <c:pt idx="1">
                <c:v>2023 Feb</c:v>
              </c:pt>
              <c:pt idx="2">
                <c:v>2023 Mar</c:v>
              </c:pt>
              <c:pt idx="3">
                <c:v>2023 Apr</c:v>
              </c:pt>
              <c:pt idx="4">
                <c:v>2023 May</c:v>
              </c:pt>
              <c:pt idx="5">
                <c:v>2023 Jun</c:v>
              </c:pt>
              <c:pt idx="6">
                <c:v>2023 Jul</c:v>
              </c:pt>
              <c:pt idx="7">
                <c:v>2023 Aug</c:v>
              </c:pt>
              <c:pt idx="8">
                <c:v>2023 Sep</c:v>
              </c:pt>
              <c:pt idx="9">
                <c:v>2023 Oct</c:v>
              </c:pt>
              <c:pt idx="10">
                <c:v>2023 Nov</c:v>
              </c:pt>
              <c:pt idx="11">
                <c:v>2023 Dec</c:v>
              </c:pt>
            </c:strLit>
          </c:cat>
          <c:val>
            <c:numLit>
              <c:formatCode>General</c:formatCode>
              <c:ptCount val="12"/>
              <c:pt idx="0">
                <c:v>0</c:v>
              </c:pt>
              <c:pt idx="1">
                <c:v>0</c:v>
              </c:pt>
              <c:pt idx="2">
                <c:v>0</c:v>
              </c:pt>
              <c:pt idx="3">
                <c:v>0</c:v>
              </c:pt>
              <c:pt idx="4">
                <c:v>0</c:v>
              </c:pt>
              <c:pt idx="5">
                <c:v>0</c:v>
              </c:pt>
              <c:pt idx="6">
                <c:v>0</c:v>
              </c:pt>
              <c:pt idx="7">
                <c:v>0</c:v>
              </c:pt>
              <c:pt idx="8">
                <c:v>764</c:v>
              </c:pt>
              <c:pt idx="9">
                <c:v>0</c:v>
              </c:pt>
              <c:pt idx="10">
                <c:v>0</c:v>
              </c:pt>
              <c:pt idx="11">
                <c:v>0</c:v>
              </c:pt>
            </c:numLit>
          </c:val>
          <c:smooth val="0"/>
          <c:extLst>
            <c:ext xmlns:c16="http://schemas.microsoft.com/office/drawing/2014/chart" uri="{C3380CC4-5D6E-409C-BE32-E72D297353CC}">
              <c16:uniqueId val="{00000008-2289-4A98-8E2B-FA4EAD7106E7}"/>
            </c:ext>
          </c:extLst>
        </c:ser>
        <c:ser>
          <c:idx val="9"/>
          <c:order val="9"/>
          <c:tx>
            <c:v>2023 - Oct</c:v>
          </c:tx>
          <c:spPr>
            <a:ln w="28575" cap="rnd">
              <a:solidFill>
                <a:schemeClr val="accent4">
                  <a:lumMod val="60000"/>
                </a:schemeClr>
              </a:solidFill>
              <a:round/>
            </a:ln>
            <a:effectLst/>
          </c:spPr>
          <c:marker>
            <c:symbol val="none"/>
          </c:marker>
          <c:cat>
            <c:strLit>
              <c:ptCount val="12"/>
              <c:pt idx="0">
                <c:v>2023 Jan</c:v>
              </c:pt>
              <c:pt idx="1">
                <c:v>2023 Feb</c:v>
              </c:pt>
              <c:pt idx="2">
                <c:v>2023 Mar</c:v>
              </c:pt>
              <c:pt idx="3">
                <c:v>2023 Apr</c:v>
              </c:pt>
              <c:pt idx="4">
                <c:v>2023 May</c:v>
              </c:pt>
              <c:pt idx="5">
                <c:v>2023 Jun</c:v>
              </c:pt>
              <c:pt idx="6">
                <c:v>2023 Jul</c:v>
              </c:pt>
              <c:pt idx="7">
                <c:v>2023 Aug</c:v>
              </c:pt>
              <c:pt idx="8">
                <c:v>2023 Sep</c:v>
              </c:pt>
              <c:pt idx="9">
                <c:v>2023 Oct</c:v>
              </c:pt>
              <c:pt idx="10">
                <c:v>2023 Nov</c:v>
              </c:pt>
              <c:pt idx="11">
                <c:v>2023 Dec</c:v>
              </c:pt>
            </c:strLit>
          </c:cat>
          <c:val>
            <c:numLit>
              <c:formatCode>General</c:formatCode>
              <c:ptCount val="12"/>
              <c:pt idx="0">
                <c:v>0</c:v>
              </c:pt>
              <c:pt idx="1">
                <c:v>0</c:v>
              </c:pt>
              <c:pt idx="2">
                <c:v>0</c:v>
              </c:pt>
              <c:pt idx="3">
                <c:v>0</c:v>
              </c:pt>
              <c:pt idx="4">
                <c:v>0</c:v>
              </c:pt>
              <c:pt idx="5">
                <c:v>0</c:v>
              </c:pt>
              <c:pt idx="6">
                <c:v>0</c:v>
              </c:pt>
              <c:pt idx="7">
                <c:v>0</c:v>
              </c:pt>
              <c:pt idx="8">
                <c:v>153</c:v>
              </c:pt>
              <c:pt idx="9">
                <c:v>542</c:v>
              </c:pt>
              <c:pt idx="10">
                <c:v>0</c:v>
              </c:pt>
              <c:pt idx="11">
                <c:v>0</c:v>
              </c:pt>
            </c:numLit>
          </c:val>
          <c:smooth val="0"/>
          <c:extLst>
            <c:ext xmlns:c16="http://schemas.microsoft.com/office/drawing/2014/chart" uri="{C3380CC4-5D6E-409C-BE32-E72D297353CC}">
              <c16:uniqueId val="{00000009-2289-4A98-8E2B-FA4EAD7106E7}"/>
            </c:ext>
          </c:extLst>
        </c:ser>
        <c:ser>
          <c:idx val="10"/>
          <c:order val="10"/>
          <c:tx>
            <c:v>2023 - Nov</c:v>
          </c:tx>
          <c:spPr>
            <a:ln w="28575" cap="rnd">
              <a:solidFill>
                <a:schemeClr val="accent5">
                  <a:lumMod val="60000"/>
                </a:schemeClr>
              </a:solidFill>
              <a:round/>
            </a:ln>
            <a:effectLst/>
          </c:spPr>
          <c:marker>
            <c:symbol val="none"/>
          </c:marker>
          <c:cat>
            <c:strLit>
              <c:ptCount val="12"/>
              <c:pt idx="0">
                <c:v>2023 Jan</c:v>
              </c:pt>
              <c:pt idx="1">
                <c:v>2023 Feb</c:v>
              </c:pt>
              <c:pt idx="2">
                <c:v>2023 Mar</c:v>
              </c:pt>
              <c:pt idx="3">
                <c:v>2023 Apr</c:v>
              </c:pt>
              <c:pt idx="4">
                <c:v>2023 May</c:v>
              </c:pt>
              <c:pt idx="5">
                <c:v>2023 Jun</c:v>
              </c:pt>
              <c:pt idx="6">
                <c:v>2023 Jul</c:v>
              </c:pt>
              <c:pt idx="7">
                <c:v>2023 Aug</c:v>
              </c:pt>
              <c:pt idx="8">
                <c:v>2023 Sep</c:v>
              </c:pt>
              <c:pt idx="9">
                <c:v>2023 Oct</c:v>
              </c:pt>
              <c:pt idx="10">
                <c:v>2023 Nov</c:v>
              </c:pt>
              <c:pt idx="11">
                <c:v>2023 Dec</c:v>
              </c:pt>
            </c:strLit>
          </c:cat>
          <c:val>
            <c:numLit>
              <c:formatCode>General</c:formatCode>
              <c:ptCount val="12"/>
              <c:pt idx="0">
                <c:v>0</c:v>
              </c:pt>
              <c:pt idx="1">
                <c:v>0</c:v>
              </c:pt>
              <c:pt idx="2">
                <c:v>0</c:v>
              </c:pt>
              <c:pt idx="3">
                <c:v>0</c:v>
              </c:pt>
              <c:pt idx="4">
                <c:v>0</c:v>
              </c:pt>
              <c:pt idx="5">
                <c:v>0</c:v>
              </c:pt>
              <c:pt idx="6">
                <c:v>0</c:v>
              </c:pt>
              <c:pt idx="7">
                <c:v>0</c:v>
              </c:pt>
              <c:pt idx="8">
                <c:v>0</c:v>
              </c:pt>
              <c:pt idx="9">
                <c:v>54</c:v>
              </c:pt>
              <c:pt idx="10">
                <c:v>1114</c:v>
              </c:pt>
              <c:pt idx="11">
                <c:v>0</c:v>
              </c:pt>
            </c:numLit>
          </c:val>
          <c:smooth val="0"/>
          <c:extLst>
            <c:ext xmlns:c16="http://schemas.microsoft.com/office/drawing/2014/chart" uri="{C3380CC4-5D6E-409C-BE32-E72D297353CC}">
              <c16:uniqueId val="{0000000A-2289-4A98-8E2B-FA4EAD7106E7}"/>
            </c:ext>
          </c:extLst>
        </c:ser>
        <c:ser>
          <c:idx val="11"/>
          <c:order val="11"/>
          <c:tx>
            <c:v>2023 - Dec</c:v>
          </c:tx>
          <c:spPr>
            <a:ln w="28575" cap="rnd">
              <a:solidFill>
                <a:schemeClr val="accent6">
                  <a:lumMod val="60000"/>
                </a:schemeClr>
              </a:solidFill>
              <a:round/>
            </a:ln>
            <a:effectLst/>
          </c:spPr>
          <c:marker>
            <c:symbol val="none"/>
          </c:marker>
          <c:cat>
            <c:strLit>
              <c:ptCount val="12"/>
              <c:pt idx="0">
                <c:v>2023 Jan</c:v>
              </c:pt>
              <c:pt idx="1">
                <c:v>2023 Feb</c:v>
              </c:pt>
              <c:pt idx="2">
                <c:v>2023 Mar</c:v>
              </c:pt>
              <c:pt idx="3">
                <c:v>2023 Apr</c:v>
              </c:pt>
              <c:pt idx="4">
                <c:v>2023 May</c:v>
              </c:pt>
              <c:pt idx="5">
                <c:v>2023 Jun</c:v>
              </c:pt>
              <c:pt idx="6">
                <c:v>2023 Jul</c:v>
              </c:pt>
              <c:pt idx="7">
                <c:v>2023 Aug</c:v>
              </c:pt>
              <c:pt idx="8">
                <c:v>2023 Sep</c:v>
              </c:pt>
              <c:pt idx="9">
                <c:v>2023 Oct</c:v>
              </c:pt>
              <c:pt idx="10">
                <c:v>2023 Nov</c:v>
              </c:pt>
              <c:pt idx="11">
                <c:v>2023 Dec</c:v>
              </c:pt>
            </c:strLit>
          </c:cat>
          <c:val>
            <c:numLit>
              <c:formatCode>General</c:formatCode>
              <c:ptCount val="12"/>
              <c:pt idx="0">
                <c:v>0</c:v>
              </c:pt>
              <c:pt idx="1">
                <c:v>0</c:v>
              </c:pt>
              <c:pt idx="2">
                <c:v>0</c:v>
              </c:pt>
              <c:pt idx="3">
                <c:v>0</c:v>
              </c:pt>
              <c:pt idx="4">
                <c:v>0</c:v>
              </c:pt>
              <c:pt idx="5">
                <c:v>0</c:v>
              </c:pt>
              <c:pt idx="6">
                <c:v>0</c:v>
              </c:pt>
              <c:pt idx="7">
                <c:v>0</c:v>
              </c:pt>
              <c:pt idx="8">
                <c:v>0</c:v>
              </c:pt>
              <c:pt idx="9">
                <c:v>0</c:v>
              </c:pt>
              <c:pt idx="10">
                <c:v>126</c:v>
              </c:pt>
              <c:pt idx="11">
                <c:v>656</c:v>
              </c:pt>
            </c:numLit>
          </c:val>
          <c:smooth val="0"/>
          <c:extLst>
            <c:ext xmlns:c16="http://schemas.microsoft.com/office/drawing/2014/chart" uri="{C3380CC4-5D6E-409C-BE32-E72D297353CC}">
              <c16:uniqueId val="{0000000B-2289-4A98-8E2B-FA4EAD7106E7}"/>
            </c:ext>
          </c:extLst>
        </c:ser>
        <c:dLbls>
          <c:showLegendKey val="0"/>
          <c:showVal val="0"/>
          <c:showCatName val="0"/>
          <c:showSerName val="0"/>
          <c:showPercent val="0"/>
          <c:showBubbleSize val="0"/>
        </c:dLbls>
        <c:marker val="1"/>
        <c:smooth val="0"/>
        <c:axId val="1206858032"/>
        <c:axId val="1255430672"/>
      </c:lineChart>
      <c:lineChart>
        <c:grouping val="standard"/>
        <c:varyColors val="0"/>
        <c:ser>
          <c:idx val="12"/>
          <c:order val="12"/>
          <c:tx>
            <c:v>2024 - Jan</c:v>
          </c:tx>
          <c:spPr>
            <a:ln w="28575" cap="rnd">
              <a:solidFill>
                <a:schemeClr val="accent1">
                  <a:lumMod val="80000"/>
                  <a:lumOff val="20000"/>
                </a:schemeClr>
              </a:solidFill>
              <a:round/>
            </a:ln>
            <a:effectLst/>
          </c:spPr>
          <c:marker>
            <c:symbol val="none"/>
          </c:marker>
          <c:cat>
            <c:strLit>
              <c:ptCount val="12"/>
              <c:pt idx="0">
                <c:v>2023 Jan</c:v>
              </c:pt>
              <c:pt idx="1">
                <c:v>2023 Feb</c:v>
              </c:pt>
              <c:pt idx="2">
                <c:v>2023 Mar</c:v>
              </c:pt>
              <c:pt idx="3">
                <c:v>2023 Apr</c:v>
              </c:pt>
              <c:pt idx="4">
                <c:v>2023 May</c:v>
              </c:pt>
              <c:pt idx="5">
                <c:v>2023 Jun</c:v>
              </c:pt>
              <c:pt idx="6">
                <c:v>2023 Jul</c:v>
              </c:pt>
              <c:pt idx="7">
                <c:v>2023 Aug</c:v>
              </c:pt>
              <c:pt idx="8">
                <c:v>2023 Sep</c:v>
              </c:pt>
              <c:pt idx="9">
                <c:v>2023 Oct</c:v>
              </c:pt>
              <c:pt idx="10">
                <c:v>2023 Nov</c:v>
              </c:pt>
              <c:pt idx="11">
                <c:v>2023 Dec</c:v>
              </c:pt>
            </c:strLit>
          </c:cat>
          <c:val>
            <c:numLit>
              <c:formatCode>General</c:formatCode>
              <c:ptCount val="12"/>
              <c:pt idx="0">
                <c:v>0</c:v>
              </c:pt>
              <c:pt idx="1">
                <c:v>0</c:v>
              </c:pt>
              <c:pt idx="2">
                <c:v>0</c:v>
              </c:pt>
              <c:pt idx="3">
                <c:v>0</c:v>
              </c:pt>
              <c:pt idx="4">
                <c:v>0</c:v>
              </c:pt>
              <c:pt idx="5">
                <c:v>0</c:v>
              </c:pt>
              <c:pt idx="6">
                <c:v>0</c:v>
              </c:pt>
              <c:pt idx="7">
                <c:v>0</c:v>
              </c:pt>
              <c:pt idx="8">
                <c:v>0</c:v>
              </c:pt>
              <c:pt idx="9">
                <c:v>0</c:v>
              </c:pt>
              <c:pt idx="10">
                <c:v>0</c:v>
              </c:pt>
              <c:pt idx="11">
                <c:v>377</c:v>
              </c:pt>
            </c:numLit>
          </c:val>
          <c:smooth val="0"/>
          <c:extLst>
            <c:ext xmlns:c16="http://schemas.microsoft.com/office/drawing/2014/chart" uri="{C3380CC4-5D6E-409C-BE32-E72D297353CC}">
              <c16:uniqueId val="{0000000C-2289-4A98-8E2B-FA4EAD7106E7}"/>
            </c:ext>
          </c:extLst>
        </c:ser>
        <c:dLbls>
          <c:showLegendKey val="0"/>
          <c:showVal val="0"/>
          <c:showCatName val="0"/>
          <c:showSerName val="0"/>
          <c:showPercent val="0"/>
          <c:showBubbleSize val="0"/>
        </c:dLbls>
        <c:marker val="1"/>
        <c:smooth val="0"/>
        <c:axId val="1261892144"/>
        <c:axId val="1261887824"/>
      </c:lineChart>
      <c:catAx>
        <c:axId val="1206858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5430672"/>
        <c:crosses val="autoZero"/>
        <c:auto val="1"/>
        <c:lblAlgn val="ctr"/>
        <c:lblOffset val="100"/>
        <c:noMultiLvlLbl val="0"/>
      </c:catAx>
      <c:valAx>
        <c:axId val="1255430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6858032"/>
        <c:crosses val="autoZero"/>
        <c:crossBetween val="between"/>
      </c:valAx>
      <c:valAx>
        <c:axId val="126188782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1892144"/>
        <c:crosses val="max"/>
        <c:crossBetween val="between"/>
      </c:valAx>
      <c:catAx>
        <c:axId val="1261892144"/>
        <c:scaling>
          <c:orientation val="minMax"/>
        </c:scaling>
        <c:delete val="1"/>
        <c:axPos val="b"/>
        <c:numFmt formatCode="General" sourceLinked="1"/>
        <c:majorTickMark val="out"/>
        <c:minorTickMark val="none"/>
        <c:tickLblPos val="nextTo"/>
        <c:crossAx val="126188782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accent1">
          <a:lumMod val="60000"/>
          <a:lumOff val="40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Hospital Expense vs. Patient Count Analysis</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scatterChart>
        <c:scatterStyle val="lineMarker"/>
        <c:varyColors val="0"/>
        <c:ser>
          <c:idx val="0"/>
          <c:order val="0"/>
          <c:tx>
            <c:strRef>
              <c:f>Hospital_Data!$H$2</c:f>
              <c:strCache>
                <c:ptCount val="1"/>
                <c:pt idx="0">
                  <c:v>Medical Expenses</c:v>
                </c:pt>
              </c:strCache>
            </c:strRef>
          </c:tx>
          <c:spPr>
            <a:ln w="19050" cap="rnd">
              <a:noFill/>
              <a:round/>
            </a:ln>
            <a:effectLst/>
          </c:spPr>
          <c:marker>
            <c:symbol val="circle"/>
            <c:size val="5"/>
            <c:spPr>
              <a:solidFill>
                <a:schemeClr val="accent1"/>
              </a:solidFill>
              <a:ln w="9525">
                <a:solidFill>
                  <a:schemeClr val="accent1"/>
                </a:solidFill>
              </a:ln>
              <a:effectLst/>
            </c:spPr>
          </c:marker>
          <c:xVal>
            <c:numRef>
              <c:f>Hospital_Data!$E$3:$E$102</c:f>
              <c:numCache>
                <c:formatCode>General</c:formatCode>
                <c:ptCount val="100"/>
                <c:pt idx="0">
                  <c:v>182</c:v>
                </c:pt>
                <c:pt idx="1">
                  <c:v>51</c:v>
                </c:pt>
                <c:pt idx="2">
                  <c:v>120</c:v>
                </c:pt>
                <c:pt idx="3">
                  <c:v>172</c:v>
                </c:pt>
                <c:pt idx="4">
                  <c:v>76</c:v>
                </c:pt>
                <c:pt idx="5">
                  <c:v>76</c:v>
                </c:pt>
                <c:pt idx="6">
                  <c:v>99</c:v>
                </c:pt>
                <c:pt idx="7">
                  <c:v>173</c:v>
                </c:pt>
                <c:pt idx="8">
                  <c:v>198</c:v>
                </c:pt>
                <c:pt idx="9">
                  <c:v>107</c:v>
                </c:pt>
                <c:pt idx="10">
                  <c:v>70</c:v>
                </c:pt>
                <c:pt idx="11">
                  <c:v>38</c:v>
                </c:pt>
                <c:pt idx="12">
                  <c:v>67</c:v>
                </c:pt>
                <c:pt idx="13">
                  <c:v>60</c:v>
                </c:pt>
                <c:pt idx="14">
                  <c:v>37</c:v>
                </c:pt>
                <c:pt idx="15">
                  <c:v>60</c:v>
                </c:pt>
                <c:pt idx="16">
                  <c:v>96</c:v>
                </c:pt>
                <c:pt idx="17">
                  <c:v>68</c:v>
                </c:pt>
                <c:pt idx="18">
                  <c:v>111</c:v>
                </c:pt>
                <c:pt idx="19">
                  <c:v>154</c:v>
                </c:pt>
                <c:pt idx="20">
                  <c:v>68</c:v>
                </c:pt>
                <c:pt idx="21">
                  <c:v>191</c:v>
                </c:pt>
                <c:pt idx="22">
                  <c:v>116</c:v>
                </c:pt>
                <c:pt idx="23">
                  <c:v>79</c:v>
                </c:pt>
                <c:pt idx="24">
                  <c:v>91</c:v>
                </c:pt>
                <c:pt idx="25">
                  <c:v>59</c:v>
                </c:pt>
                <c:pt idx="26">
                  <c:v>171</c:v>
                </c:pt>
                <c:pt idx="27">
                  <c:v>39</c:v>
                </c:pt>
                <c:pt idx="28">
                  <c:v>55</c:v>
                </c:pt>
                <c:pt idx="29">
                  <c:v>88</c:v>
                </c:pt>
                <c:pt idx="30">
                  <c:v>69</c:v>
                </c:pt>
                <c:pt idx="31">
                  <c:v>94</c:v>
                </c:pt>
                <c:pt idx="32">
                  <c:v>139</c:v>
                </c:pt>
                <c:pt idx="33">
                  <c:v>62</c:v>
                </c:pt>
                <c:pt idx="34">
                  <c:v>133</c:v>
                </c:pt>
                <c:pt idx="35">
                  <c:v>84</c:v>
                </c:pt>
                <c:pt idx="36">
                  <c:v>40</c:v>
                </c:pt>
                <c:pt idx="37">
                  <c:v>23</c:v>
                </c:pt>
                <c:pt idx="38">
                  <c:v>166</c:v>
                </c:pt>
                <c:pt idx="39">
                  <c:v>85</c:v>
                </c:pt>
                <c:pt idx="40">
                  <c:v>167</c:v>
                </c:pt>
                <c:pt idx="41">
                  <c:v>61</c:v>
                </c:pt>
                <c:pt idx="42">
                  <c:v>69</c:v>
                </c:pt>
                <c:pt idx="43">
                  <c:v>22</c:v>
                </c:pt>
                <c:pt idx="44">
                  <c:v>26</c:v>
                </c:pt>
                <c:pt idx="45">
                  <c:v>112</c:v>
                </c:pt>
                <c:pt idx="46">
                  <c:v>161</c:v>
                </c:pt>
                <c:pt idx="47">
                  <c:v>177</c:v>
                </c:pt>
                <c:pt idx="48">
                  <c:v>158</c:v>
                </c:pt>
                <c:pt idx="49">
                  <c:v>65</c:v>
                </c:pt>
                <c:pt idx="50">
                  <c:v>88</c:v>
                </c:pt>
                <c:pt idx="51">
                  <c:v>51</c:v>
                </c:pt>
                <c:pt idx="52">
                  <c:v>94</c:v>
                </c:pt>
                <c:pt idx="53">
                  <c:v>75</c:v>
                </c:pt>
                <c:pt idx="54">
                  <c:v>109</c:v>
                </c:pt>
                <c:pt idx="55">
                  <c:v>47</c:v>
                </c:pt>
                <c:pt idx="56">
                  <c:v>134</c:v>
                </c:pt>
                <c:pt idx="57">
                  <c:v>42</c:v>
                </c:pt>
                <c:pt idx="58">
                  <c:v>138</c:v>
                </c:pt>
                <c:pt idx="59">
                  <c:v>58</c:v>
                </c:pt>
                <c:pt idx="60">
                  <c:v>50</c:v>
                </c:pt>
                <c:pt idx="61">
                  <c:v>66</c:v>
                </c:pt>
                <c:pt idx="62">
                  <c:v>122</c:v>
                </c:pt>
                <c:pt idx="63">
                  <c:v>85</c:v>
                </c:pt>
                <c:pt idx="64">
                  <c:v>75</c:v>
                </c:pt>
                <c:pt idx="65">
                  <c:v>70</c:v>
                </c:pt>
                <c:pt idx="66">
                  <c:v>91</c:v>
                </c:pt>
                <c:pt idx="67">
                  <c:v>62</c:v>
                </c:pt>
                <c:pt idx="68">
                  <c:v>84</c:v>
                </c:pt>
                <c:pt idx="69">
                  <c:v>57</c:v>
                </c:pt>
                <c:pt idx="70">
                  <c:v>41</c:v>
                </c:pt>
                <c:pt idx="71">
                  <c:v>54</c:v>
                </c:pt>
                <c:pt idx="72">
                  <c:v>102</c:v>
                </c:pt>
                <c:pt idx="73">
                  <c:v>27</c:v>
                </c:pt>
                <c:pt idx="74">
                  <c:v>110</c:v>
                </c:pt>
                <c:pt idx="75">
                  <c:v>31</c:v>
                </c:pt>
                <c:pt idx="76">
                  <c:v>50</c:v>
                </c:pt>
                <c:pt idx="77">
                  <c:v>56</c:v>
                </c:pt>
                <c:pt idx="78">
                  <c:v>154</c:v>
                </c:pt>
                <c:pt idx="79">
                  <c:v>194</c:v>
                </c:pt>
                <c:pt idx="80">
                  <c:v>150</c:v>
                </c:pt>
                <c:pt idx="81">
                  <c:v>108</c:v>
                </c:pt>
                <c:pt idx="82">
                  <c:v>29</c:v>
                </c:pt>
                <c:pt idx="83">
                  <c:v>96</c:v>
                </c:pt>
                <c:pt idx="84">
                  <c:v>151</c:v>
                </c:pt>
                <c:pt idx="85">
                  <c:v>88</c:v>
                </c:pt>
                <c:pt idx="86">
                  <c:v>131</c:v>
                </c:pt>
                <c:pt idx="87">
                  <c:v>106</c:v>
                </c:pt>
                <c:pt idx="88">
                  <c:v>25</c:v>
                </c:pt>
                <c:pt idx="89">
                  <c:v>20</c:v>
                </c:pt>
                <c:pt idx="90">
                  <c:v>48</c:v>
                </c:pt>
                <c:pt idx="91">
                  <c:v>152</c:v>
                </c:pt>
                <c:pt idx="92">
                  <c:v>43</c:v>
                </c:pt>
                <c:pt idx="93">
                  <c:v>133</c:v>
                </c:pt>
                <c:pt idx="94">
                  <c:v>77</c:v>
                </c:pt>
                <c:pt idx="95">
                  <c:v>126</c:v>
                </c:pt>
                <c:pt idx="96">
                  <c:v>169</c:v>
                </c:pt>
                <c:pt idx="97">
                  <c:v>193</c:v>
                </c:pt>
                <c:pt idx="98">
                  <c:v>163</c:v>
                </c:pt>
                <c:pt idx="99">
                  <c:v>37</c:v>
                </c:pt>
              </c:numCache>
            </c:numRef>
          </c:xVal>
          <c:yVal>
            <c:numRef>
              <c:f>Hospital_Data!$H$3:$H$102</c:f>
              <c:numCache>
                <c:formatCode>General</c:formatCode>
                <c:ptCount val="100"/>
                <c:pt idx="0">
                  <c:v>31364.880000000001</c:v>
                </c:pt>
                <c:pt idx="1">
                  <c:v>47280.19</c:v>
                </c:pt>
                <c:pt idx="2">
                  <c:v>28574.720000000001</c:v>
                </c:pt>
                <c:pt idx="3">
                  <c:v>7000.83</c:v>
                </c:pt>
                <c:pt idx="4">
                  <c:v>47210.46</c:v>
                </c:pt>
                <c:pt idx="5">
                  <c:v>18612.34</c:v>
                </c:pt>
                <c:pt idx="6">
                  <c:v>47808.55</c:v>
                </c:pt>
                <c:pt idx="7">
                  <c:v>12284.65</c:v>
                </c:pt>
                <c:pt idx="8">
                  <c:v>14650.23</c:v>
                </c:pt>
                <c:pt idx="9">
                  <c:v>30006.959999999999</c:v>
                </c:pt>
                <c:pt idx="10">
                  <c:v>13282.51</c:v>
                </c:pt>
                <c:pt idx="11">
                  <c:v>13481.9</c:v>
                </c:pt>
                <c:pt idx="12">
                  <c:v>36748.42</c:v>
                </c:pt>
                <c:pt idx="13">
                  <c:v>37056.51</c:v>
                </c:pt>
                <c:pt idx="14">
                  <c:v>15107.89</c:v>
                </c:pt>
                <c:pt idx="15">
                  <c:v>9348.5499999999993</c:v>
                </c:pt>
                <c:pt idx="16">
                  <c:v>48548.44</c:v>
                </c:pt>
                <c:pt idx="17">
                  <c:v>29942.75</c:v>
                </c:pt>
                <c:pt idx="18">
                  <c:v>43367.53</c:v>
                </c:pt>
                <c:pt idx="19">
                  <c:v>41367.1</c:v>
                </c:pt>
                <c:pt idx="20">
                  <c:v>30136.26</c:v>
                </c:pt>
                <c:pt idx="21">
                  <c:v>17698.490000000002</c:v>
                </c:pt>
                <c:pt idx="22">
                  <c:v>40799.019999999997</c:v>
                </c:pt>
                <c:pt idx="23">
                  <c:v>20952.509999999998</c:v>
                </c:pt>
                <c:pt idx="24">
                  <c:v>10882.4</c:v>
                </c:pt>
                <c:pt idx="25">
                  <c:v>25177.79</c:v>
                </c:pt>
                <c:pt idx="26">
                  <c:v>21666.78</c:v>
                </c:pt>
                <c:pt idx="27">
                  <c:v>37856.699999999997</c:v>
                </c:pt>
                <c:pt idx="28">
                  <c:v>25298.5</c:v>
                </c:pt>
                <c:pt idx="29">
                  <c:v>28558.23</c:v>
                </c:pt>
                <c:pt idx="30">
                  <c:v>44452.26</c:v>
                </c:pt>
                <c:pt idx="31">
                  <c:v>49955.41</c:v>
                </c:pt>
                <c:pt idx="32">
                  <c:v>14118.62</c:v>
                </c:pt>
                <c:pt idx="33">
                  <c:v>22074.89</c:v>
                </c:pt>
                <c:pt idx="34">
                  <c:v>18795.689999999999</c:v>
                </c:pt>
                <c:pt idx="35">
                  <c:v>26646.52</c:v>
                </c:pt>
                <c:pt idx="36">
                  <c:v>37057.29</c:v>
                </c:pt>
                <c:pt idx="37">
                  <c:v>40771.839999999997</c:v>
                </c:pt>
                <c:pt idx="38">
                  <c:v>40731.29</c:v>
                </c:pt>
                <c:pt idx="39">
                  <c:v>4872.04</c:v>
                </c:pt>
                <c:pt idx="40">
                  <c:v>44531.22</c:v>
                </c:pt>
                <c:pt idx="41">
                  <c:v>42769.14</c:v>
                </c:pt>
                <c:pt idx="42">
                  <c:v>14701.02</c:v>
                </c:pt>
                <c:pt idx="43">
                  <c:v>48466.080000000002</c:v>
                </c:pt>
                <c:pt idx="44">
                  <c:v>25367.78</c:v>
                </c:pt>
                <c:pt idx="45">
                  <c:v>32628.67</c:v>
                </c:pt>
                <c:pt idx="46">
                  <c:v>10166.89</c:v>
                </c:pt>
                <c:pt idx="47">
                  <c:v>15913.48</c:v>
                </c:pt>
                <c:pt idx="48">
                  <c:v>16757.509999999998</c:v>
                </c:pt>
                <c:pt idx="49">
                  <c:v>35720.61</c:v>
                </c:pt>
                <c:pt idx="50">
                  <c:v>9438.26</c:v>
                </c:pt>
                <c:pt idx="51">
                  <c:v>27223.46</c:v>
                </c:pt>
                <c:pt idx="52">
                  <c:v>35570.839999999997</c:v>
                </c:pt>
                <c:pt idx="53">
                  <c:v>26027.37</c:v>
                </c:pt>
                <c:pt idx="54">
                  <c:v>36909.89</c:v>
                </c:pt>
                <c:pt idx="55">
                  <c:v>8519.11</c:v>
                </c:pt>
                <c:pt idx="56">
                  <c:v>48873.72</c:v>
                </c:pt>
                <c:pt idx="57">
                  <c:v>31342.58</c:v>
                </c:pt>
                <c:pt idx="58">
                  <c:v>46741.91</c:v>
                </c:pt>
                <c:pt idx="59">
                  <c:v>26614.52</c:v>
                </c:pt>
                <c:pt idx="60">
                  <c:v>10978.18</c:v>
                </c:pt>
                <c:pt idx="61">
                  <c:v>31175.27</c:v>
                </c:pt>
                <c:pt idx="62">
                  <c:v>44290.86</c:v>
                </c:pt>
                <c:pt idx="63">
                  <c:v>7502.64</c:v>
                </c:pt>
                <c:pt idx="64">
                  <c:v>7121.37</c:v>
                </c:pt>
                <c:pt idx="65">
                  <c:v>48241</c:v>
                </c:pt>
                <c:pt idx="66">
                  <c:v>33446.239999999998</c:v>
                </c:pt>
                <c:pt idx="67">
                  <c:v>13590.65</c:v>
                </c:pt>
                <c:pt idx="68">
                  <c:v>20849.310000000001</c:v>
                </c:pt>
                <c:pt idx="69">
                  <c:v>4388.33</c:v>
                </c:pt>
                <c:pt idx="70">
                  <c:v>23916.63</c:v>
                </c:pt>
                <c:pt idx="71">
                  <c:v>5084.1099999999997</c:v>
                </c:pt>
                <c:pt idx="72">
                  <c:v>23328.9</c:v>
                </c:pt>
                <c:pt idx="73">
                  <c:v>33417.279999999999</c:v>
                </c:pt>
                <c:pt idx="74">
                  <c:v>36545.43</c:v>
                </c:pt>
                <c:pt idx="75">
                  <c:v>43687.01</c:v>
                </c:pt>
                <c:pt idx="76">
                  <c:v>13902.24</c:v>
                </c:pt>
                <c:pt idx="77">
                  <c:v>22456.61</c:v>
                </c:pt>
                <c:pt idx="78">
                  <c:v>23012.639999999999</c:v>
                </c:pt>
                <c:pt idx="79">
                  <c:v>33963.65</c:v>
                </c:pt>
                <c:pt idx="80">
                  <c:v>9775.99</c:v>
                </c:pt>
                <c:pt idx="81">
                  <c:v>17211.57</c:v>
                </c:pt>
                <c:pt idx="82">
                  <c:v>17999.48</c:v>
                </c:pt>
                <c:pt idx="83">
                  <c:v>42883.43</c:v>
                </c:pt>
                <c:pt idx="84">
                  <c:v>2854.22</c:v>
                </c:pt>
                <c:pt idx="85">
                  <c:v>8333.48</c:v>
                </c:pt>
                <c:pt idx="86">
                  <c:v>47678.73</c:v>
                </c:pt>
                <c:pt idx="87">
                  <c:v>44526.27</c:v>
                </c:pt>
                <c:pt idx="88">
                  <c:v>4514.63</c:v>
                </c:pt>
                <c:pt idx="89">
                  <c:v>25418.26</c:v>
                </c:pt>
                <c:pt idx="90">
                  <c:v>46666.48</c:v>
                </c:pt>
                <c:pt idx="91">
                  <c:v>39298.300000000003</c:v>
                </c:pt>
                <c:pt idx="92">
                  <c:v>45451.78</c:v>
                </c:pt>
                <c:pt idx="93">
                  <c:v>24556.18</c:v>
                </c:pt>
                <c:pt idx="94">
                  <c:v>7146.07</c:v>
                </c:pt>
                <c:pt idx="95">
                  <c:v>21065.59</c:v>
                </c:pt>
                <c:pt idx="96">
                  <c:v>41677.339999999997</c:v>
                </c:pt>
                <c:pt idx="97">
                  <c:v>47625.7</c:v>
                </c:pt>
                <c:pt idx="98">
                  <c:v>8684.16</c:v>
                </c:pt>
                <c:pt idx="99">
                  <c:v>17213.05</c:v>
                </c:pt>
              </c:numCache>
            </c:numRef>
          </c:yVal>
          <c:smooth val="0"/>
          <c:extLst>
            <c:ext xmlns:c16="http://schemas.microsoft.com/office/drawing/2014/chart" uri="{C3380CC4-5D6E-409C-BE32-E72D297353CC}">
              <c16:uniqueId val="{00000000-270F-4034-9F18-AAA489269B50}"/>
            </c:ext>
          </c:extLst>
        </c:ser>
        <c:dLbls>
          <c:showLegendKey val="0"/>
          <c:showVal val="0"/>
          <c:showCatName val="0"/>
          <c:showSerName val="0"/>
          <c:showPercent val="0"/>
          <c:showBubbleSize val="0"/>
        </c:dLbls>
        <c:axId val="1263624976"/>
        <c:axId val="1263615856"/>
      </c:scatterChart>
      <c:valAx>
        <c:axId val="12636249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615856"/>
        <c:crosses val="autoZero"/>
        <c:crossBetween val="midCat"/>
      </c:valAx>
      <c:valAx>
        <c:axId val="12636158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62497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chemeClr val="accent1">
          <a:lumMod val="60000"/>
          <a:lumOff val="40000"/>
        </a:schemeClr>
      </a:solidFill>
      <a:round/>
    </a:ln>
    <a:effectLst>
      <a:outerShdw blurRad="50800" dist="38100" dir="5400000" algn="t"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19049</xdr:rowOff>
    </xdr:from>
    <xdr:to>
      <xdr:col>7</xdr:col>
      <xdr:colOff>304800</xdr:colOff>
      <xdr:row>16</xdr:row>
      <xdr:rowOff>161924</xdr:rowOff>
    </xdr:to>
    <xdr:graphicFrame macro="">
      <xdr:nvGraphicFramePr>
        <xdr:cNvPr id="2" name="Chart 1">
          <a:extLst>
            <a:ext uri="{FF2B5EF4-FFF2-40B4-BE49-F238E27FC236}">
              <a16:creationId xmlns:a16="http://schemas.microsoft.com/office/drawing/2014/main" id="{0A4877F6-5472-8E23-0ABD-C6FA82AC10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292100</xdr:colOff>
      <xdr:row>2</xdr:row>
      <xdr:rowOff>9525</xdr:rowOff>
    </xdr:from>
    <xdr:to>
      <xdr:col>13</xdr:col>
      <xdr:colOff>6350</xdr:colOff>
      <xdr:row>17</xdr:row>
      <xdr:rowOff>0</xdr:rowOff>
    </xdr:to>
    <xdr:graphicFrame macro="">
      <xdr:nvGraphicFramePr>
        <xdr:cNvPr id="3" name="Chart 2">
          <a:extLst>
            <a:ext uri="{FF2B5EF4-FFF2-40B4-BE49-F238E27FC236}">
              <a16:creationId xmlns:a16="http://schemas.microsoft.com/office/drawing/2014/main" id="{0B7EF4B2-AFA4-38D5-BC12-9A15184E80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12700</xdr:colOff>
      <xdr:row>2</xdr:row>
      <xdr:rowOff>3175</xdr:rowOff>
    </xdr:from>
    <xdr:to>
      <xdr:col>18</xdr:col>
      <xdr:colOff>596900</xdr:colOff>
      <xdr:row>16</xdr:row>
      <xdr:rowOff>168275</xdr:rowOff>
    </xdr:to>
    <xdr:graphicFrame macro="">
      <xdr:nvGraphicFramePr>
        <xdr:cNvPr id="4" name="Chart 1">
          <a:extLst>
            <a:ext uri="{FF2B5EF4-FFF2-40B4-BE49-F238E27FC236}">
              <a16:creationId xmlns:a16="http://schemas.microsoft.com/office/drawing/2014/main" id="{F9B7EED1-7622-0D28-B68A-4E113B858E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16</xdr:row>
      <xdr:rowOff>174625</xdr:rowOff>
    </xdr:from>
    <xdr:to>
      <xdr:col>6</xdr:col>
      <xdr:colOff>336550</xdr:colOff>
      <xdr:row>31</xdr:row>
      <xdr:rowOff>155575</xdr:rowOff>
    </xdr:to>
    <xdr:graphicFrame macro="">
      <xdr:nvGraphicFramePr>
        <xdr:cNvPr id="5" name="Chart 7">
          <a:extLst>
            <a:ext uri="{FF2B5EF4-FFF2-40B4-BE49-F238E27FC236}">
              <a16:creationId xmlns:a16="http://schemas.microsoft.com/office/drawing/2014/main" id="{0B375B82-DA60-DB7A-07A5-52E8FDC240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355600</xdr:colOff>
      <xdr:row>16</xdr:row>
      <xdr:rowOff>158750</xdr:rowOff>
    </xdr:from>
    <xdr:to>
      <xdr:col>13</xdr:col>
      <xdr:colOff>342901</xdr:colOff>
      <xdr:row>31</xdr:row>
      <xdr:rowOff>174625</xdr:rowOff>
    </xdr:to>
    <xdr:graphicFrame macro="[0]!RefreshPivotAndGoToDashboard">
      <xdr:nvGraphicFramePr>
        <xdr:cNvPr id="6" name="Chart 2">
          <a:extLst>
            <a:ext uri="{FF2B5EF4-FFF2-40B4-BE49-F238E27FC236}">
              <a16:creationId xmlns:a16="http://schemas.microsoft.com/office/drawing/2014/main" id="{D0FEA626-AB31-5FE5-FA12-1CBA40F129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361950</xdr:colOff>
      <xdr:row>16</xdr:row>
      <xdr:rowOff>165100</xdr:rowOff>
    </xdr:from>
    <xdr:to>
      <xdr:col>19</xdr:col>
      <xdr:colOff>19050</xdr:colOff>
      <xdr:row>31</xdr:row>
      <xdr:rowOff>180975</xdr:rowOff>
    </xdr:to>
    <xdr:graphicFrame macro="">
      <xdr:nvGraphicFramePr>
        <xdr:cNvPr id="7" name="Chart 4">
          <a:extLst>
            <a:ext uri="{FF2B5EF4-FFF2-40B4-BE49-F238E27FC236}">
              <a16:creationId xmlns:a16="http://schemas.microsoft.com/office/drawing/2014/main" id="{66113709-5E31-F3DA-A611-AD6B30D404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17</xdr:col>
          <xdr:colOff>393700</xdr:colOff>
          <xdr:row>0</xdr:row>
          <xdr:rowOff>127000</xdr:rowOff>
        </xdr:from>
        <xdr:to>
          <xdr:col>21</xdr:col>
          <xdr:colOff>146050</xdr:colOff>
          <xdr:row>1</xdr:row>
          <xdr:rowOff>721753</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0</xdr:colOff>
      <xdr:row>1</xdr:row>
      <xdr:rowOff>9303</xdr:rowOff>
    </xdr:from>
    <xdr:to>
      <xdr:col>19</xdr:col>
      <xdr:colOff>17886</xdr:colOff>
      <xdr:row>1</xdr:row>
      <xdr:rowOff>643945</xdr:rowOff>
    </xdr:to>
    <mc:AlternateContent xmlns:mc="http://schemas.openxmlformats.org/markup-compatibility/2006" xmlns:a14="http://schemas.microsoft.com/office/drawing/2010/main">
      <mc:Choice Requires="a14">
        <xdr:graphicFrame macro="">
          <xdr:nvGraphicFramePr>
            <xdr:cNvPr id="10" name="Location 1">
              <a:extLst>
                <a:ext uri="{FF2B5EF4-FFF2-40B4-BE49-F238E27FC236}">
                  <a16:creationId xmlns:a16="http://schemas.microsoft.com/office/drawing/2014/main" id="{284A0096-78BB-695A-7A28-98E66E4800A8}"/>
                </a:ext>
              </a:extLst>
            </xdr:cNvPr>
            <xdr:cNvGraphicFramePr/>
          </xdr:nvGraphicFramePr>
          <xdr:xfrm>
            <a:off x="0" y="0"/>
            <a:ext cx="0" cy="0"/>
          </xdr:xfrm>
          <a:graphic>
            <a:graphicData uri="http://schemas.microsoft.com/office/drawing/2010/slicer">
              <sle:slicer xmlns:sle="http://schemas.microsoft.com/office/drawing/2010/slicer" name="Location 1"/>
            </a:graphicData>
          </a:graphic>
        </xdr:graphicFrame>
      </mc:Choice>
      <mc:Fallback xmlns="">
        <xdr:sp macro="" textlink="">
          <xdr:nvSpPr>
            <xdr:cNvPr id="0" name=""/>
            <xdr:cNvSpPr>
              <a:spLocks noTextEdit="1"/>
            </xdr:cNvSpPr>
          </xdr:nvSpPr>
          <xdr:spPr>
            <a:xfrm>
              <a:off x="0" y="340218"/>
              <a:ext cx="12351196" cy="6346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xdr:row>
      <xdr:rowOff>628650</xdr:rowOff>
    </xdr:from>
    <xdr:to>
      <xdr:col>19</xdr:col>
      <xdr:colOff>8944</xdr:colOff>
      <xdr:row>1</xdr:row>
      <xdr:rowOff>1216339</xdr:rowOff>
    </xdr:to>
    <mc:AlternateContent xmlns:mc="http://schemas.openxmlformats.org/markup-compatibility/2006" xmlns:a14="http://schemas.microsoft.com/office/drawing/2010/main">
      <mc:Choice Requires="a14">
        <xdr:graphicFrame macro="">
          <xdr:nvGraphicFramePr>
            <xdr:cNvPr id="12" name="Department 1">
              <a:extLst>
                <a:ext uri="{FF2B5EF4-FFF2-40B4-BE49-F238E27FC236}">
                  <a16:creationId xmlns:a16="http://schemas.microsoft.com/office/drawing/2014/main" id="{3745DE44-C874-C6A7-649C-EC3FA13B6DF2}"/>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0" y="959565"/>
              <a:ext cx="12342254" cy="5876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456127</xdr:colOff>
      <xdr:row>0</xdr:row>
      <xdr:rowOff>1</xdr:rowOff>
    </xdr:from>
    <xdr:to>
      <xdr:col>11</xdr:col>
      <xdr:colOff>482957</xdr:colOff>
      <xdr:row>1</xdr:row>
      <xdr:rowOff>1</xdr:rowOff>
    </xdr:to>
    <xdr:sp macro="" textlink="">
      <xdr:nvSpPr>
        <xdr:cNvPr id="8" name="Rectangle: Rounded Corners 7">
          <a:extLst>
            <a:ext uri="{FF2B5EF4-FFF2-40B4-BE49-F238E27FC236}">
              <a16:creationId xmlns:a16="http://schemas.microsoft.com/office/drawing/2014/main" id="{FC76AFD2-1C61-A82B-6623-01E3D034A897}"/>
            </a:ext>
          </a:extLst>
        </xdr:cNvPr>
        <xdr:cNvSpPr/>
      </xdr:nvSpPr>
      <xdr:spPr>
        <a:xfrm>
          <a:off x="4301902" y="1"/>
          <a:ext cx="3675844" cy="154725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465070</xdr:colOff>
      <xdr:row>0</xdr:row>
      <xdr:rowOff>0</xdr:rowOff>
    </xdr:from>
    <xdr:to>
      <xdr:col>11</xdr:col>
      <xdr:colOff>482957</xdr:colOff>
      <xdr:row>0</xdr:row>
      <xdr:rowOff>679719</xdr:rowOff>
    </xdr:to>
    <xdr:sp macro="" textlink="">
      <xdr:nvSpPr>
        <xdr:cNvPr id="1034" name="Text Box 10">
          <a:extLst>
            <a:ext uri="{FF2B5EF4-FFF2-40B4-BE49-F238E27FC236}">
              <a16:creationId xmlns:a16="http://schemas.microsoft.com/office/drawing/2014/main" id="{6C7257A9-C05D-5218-D34C-64E092CAECEA}"/>
            </a:ext>
          </a:extLst>
        </xdr:cNvPr>
        <xdr:cNvSpPr txBox="1">
          <a:spLocks noChangeArrowheads="1"/>
        </xdr:cNvSpPr>
      </xdr:nvSpPr>
      <xdr:spPr bwMode="auto">
        <a:xfrm>
          <a:off x="4310845" y="0"/>
          <a:ext cx="3666901" cy="679719"/>
        </a:xfrm>
        <a:prstGeom prst="rect">
          <a:avLst/>
        </a:prstGeom>
        <a:solidFill>
          <a:schemeClr val="accent1">
            <a:lumMod val="60000"/>
            <a:lumOff val="40000"/>
          </a:schemeClr>
        </a:solidFill>
        <a:ln w="9525">
          <a:solidFill>
            <a:srgbClr val="000000"/>
          </a:solidFill>
          <a:miter lim="800000"/>
          <a:headEnd/>
          <a:tailEnd/>
        </a:ln>
      </xdr:spPr>
      <xdr:txBody>
        <a:bodyPr vertOverflow="clip" wrap="square" lIns="27432" tIns="27432" rIns="0" bIns="0" anchor="t" upright="1"/>
        <a:lstStyle/>
        <a:p>
          <a:pPr algn="l" rtl="0">
            <a:defRPr sz="1000"/>
          </a:pPr>
          <a:r>
            <a:rPr lang="en-IN" sz="2000" b="0" i="0" u="none" strike="noStrike" baseline="0">
              <a:solidFill>
                <a:schemeClr val="accent1">
                  <a:lumMod val="50000"/>
                </a:schemeClr>
              </a:solidFill>
              <a:latin typeface="Calibri"/>
              <a:ea typeface="Calibri"/>
              <a:cs typeface="Calibri"/>
            </a:rPr>
            <a:t>Hospital Analytics &amp; Insights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sh khandelwal" refreshedDate="45713.540758680552" createdVersion="8" refreshedVersion="8" minRefreshableVersion="3" recordCount="101" xr:uid="{2B61279F-9D72-46CE-8AAF-BD85F8ACA987}">
  <cacheSource type="worksheet">
    <worksheetSource ref="A1:H1048576" sheet="Hospital_Data"/>
  </cacheSource>
  <cacheFields count="13">
    <cacheField name="Hospital Name" numFmtId="0">
      <sharedItems containsBlank="1" count="11">
        <s v="Wellness Clinic"/>
        <s v="Fortis Care"/>
        <s v="Heritage Hospital"/>
        <s v="City Hospital"/>
        <s v="Global Medicare"/>
        <s v="Apollo Health"/>
        <s v="Green Valley Hospital"/>
        <s v="Healing Touch"/>
        <s v="Sunrise Medical"/>
        <s v="Metro Hospital"/>
        <m/>
      </sharedItems>
    </cacheField>
    <cacheField name="Location" numFmtId="0">
      <sharedItems containsBlank="1" count="11">
        <s v="Chennai"/>
        <s v="Pune"/>
        <s v="Ahmedabad"/>
        <s v="Hyderabad"/>
        <s v="Kolkata"/>
        <s v="Jaipur"/>
        <s v="Mumbai"/>
        <s v="Lucknow"/>
        <s v="Delhi"/>
        <s v="Bangalore"/>
        <m/>
      </sharedItems>
    </cacheField>
    <cacheField name="Department" numFmtId="0">
      <sharedItems containsBlank="1" count="11">
        <s v="Orthopedics"/>
        <s v="ENT"/>
        <s v="Pediatrics"/>
        <s v="Urology"/>
        <s v="Gynecology"/>
        <s v="Oncology"/>
        <s v="General Medicine"/>
        <s v="Dermatology"/>
        <s v="Cardiology"/>
        <s v="Neurology"/>
        <m/>
      </sharedItems>
    </cacheField>
    <cacheField name="Doctors Count" numFmtId="0">
      <sharedItems containsString="0" containsBlank="1" containsNumber="1" containsInteger="1" minValue="5" maxValue="49" count="41">
        <n v="47"/>
        <n v="15"/>
        <n v="20"/>
        <n v="8"/>
        <n v="35"/>
        <n v="11"/>
        <n v="22"/>
        <n v="37"/>
        <n v="9"/>
        <n v="30"/>
        <n v="39"/>
        <n v="32"/>
        <n v="27"/>
        <n v="48"/>
        <n v="17"/>
        <n v="40"/>
        <n v="14"/>
        <n v="41"/>
        <n v="46"/>
        <n v="7"/>
        <n v="28"/>
        <n v="5"/>
        <n v="36"/>
        <n v="38"/>
        <n v="6"/>
        <n v="45"/>
        <n v="10"/>
        <n v="13"/>
        <n v="23"/>
        <n v="49"/>
        <n v="42"/>
        <n v="21"/>
        <n v="31"/>
        <n v="26"/>
        <n v="29"/>
        <n v="19"/>
        <n v="44"/>
        <n v="43"/>
        <n v="25"/>
        <n v="24"/>
        <m/>
      </sharedItems>
    </cacheField>
    <cacheField name="Patients Count" numFmtId="0">
      <sharedItems containsString="0" containsBlank="1" containsNumber="1" containsInteger="1" minValue="20" maxValue="198" count="82">
        <n v="182"/>
        <n v="51"/>
        <n v="120"/>
        <n v="172"/>
        <n v="76"/>
        <n v="99"/>
        <n v="173"/>
        <n v="198"/>
        <n v="107"/>
        <n v="70"/>
        <n v="38"/>
        <n v="67"/>
        <n v="60"/>
        <n v="37"/>
        <n v="96"/>
        <n v="68"/>
        <n v="111"/>
        <n v="154"/>
        <n v="191"/>
        <n v="116"/>
        <n v="79"/>
        <n v="91"/>
        <n v="59"/>
        <n v="171"/>
        <n v="39"/>
        <n v="55"/>
        <n v="88"/>
        <n v="69"/>
        <n v="94"/>
        <n v="139"/>
        <n v="62"/>
        <n v="133"/>
        <n v="84"/>
        <n v="40"/>
        <n v="23"/>
        <n v="166"/>
        <n v="85"/>
        <n v="167"/>
        <n v="61"/>
        <n v="22"/>
        <n v="26"/>
        <n v="112"/>
        <n v="161"/>
        <n v="177"/>
        <n v="158"/>
        <n v="65"/>
        <n v="75"/>
        <n v="109"/>
        <n v="47"/>
        <n v="134"/>
        <n v="42"/>
        <n v="138"/>
        <n v="58"/>
        <n v="50"/>
        <n v="66"/>
        <n v="122"/>
        <n v="57"/>
        <n v="41"/>
        <n v="54"/>
        <n v="102"/>
        <n v="27"/>
        <n v="110"/>
        <n v="31"/>
        <n v="56"/>
        <n v="194"/>
        <n v="150"/>
        <n v="108"/>
        <n v="29"/>
        <n v="151"/>
        <n v="131"/>
        <n v="106"/>
        <n v="25"/>
        <n v="20"/>
        <n v="48"/>
        <n v="152"/>
        <n v="43"/>
        <n v="77"/>
        <n v="126"/>
        <n v="169"/>
        <n v="193"/>
        <n v="163"/>
        <m/>
      </sharedItems>
    </cacheField>
    <cacheField name="Admission Date" numFmtId="14">
      <sharedItems containsNonDate="0" containsDate="1" containsString="0" containsBlank="1" minDate="2023-01-11T00:00:00" maxDate="2023-12-31T00:00:00" count="87">
        <d v="2023-12-13T00:00:00"/>
        <d v="2023-12-29T00:00:00"/>
        <d v="2023-10-07T00:00:00"/>
        <d v="2023-04-29T00:00:00"/>
        <d v="2023-02-10T00:00:00"/>
        <d v="2023-02-05T00:00:00"/>
        <d v="2023-08-01T00:00:00"/>
        <d v="2023-10-01T00:00:00"/>
        <d v="2023-06-12T00:00:00"/>
        <d v="2023-12-07T00:00:00"/>
        <d v="2023-09-13T00:00:00"/>
        <d v="2023-03-12T00:00:00"/>
        <d v="2023-11-18T00:00:00"/>
        <d v="2023-09-18T00:00:00"/>
        <d v="2023-08-06T00:00:00"/>
        <d v="2023-06-27T00:00:00"/>
        <d v="2023-03-22T00:00:00"/>
        <d v="2023-11-11T00:00:00"/>
        <d v="2023-11-05T00:00:00"/>
        <d v="2023-02-14T00:00:00"/>
        <d v="2023-10-06T00:00:00"/>
        <d v="2023-04-08T00:00:00"/>
        <d v="2023-10-28T00:00:00"/>
        <d v="2023-03-25T00:00:00"/>
        <d v="2023-02-24T00:00:00"/>
        <d v="2023-11-09T00:00:00"/>
        <d v="2023-04-06T00:00:00"/>
        <d v="2023-05-05T00:00:00"/>
        <d v="2023-09-25T00:00:00"/>
        <d v="2023-05-12T00:00:00"/>
        <d v="2023-09-19T00:00:00"/>
        <d v="2023-08-21T00:00:00"/>
        <d v="2023-07-01T00:00:00"/>
        <d v="2023-06-07T00:00:00"/>
        <d v="2023-02-13T00:00:00"/>
        <d v="2023-01-20T00:00:00"/>
        <d v="2023-10-23T00:00:00"/>
        <d v="2023-05-27T00:00:00"/>
        <d v="2023-12-16T00:00:00"/>
        <d v="2023-06-09T00:00:00"/>
        <d v="2023-09-10T00:00:00"/>
        <d v="2023-11-13T00:00:00"/>
        <d v="2023-05-15T00:00:00"/>
        <d v="2023-07-10T00:00:00"/>
        <d v="2023-03-26T00:00:00"/>
        <d v="2023-11-10T00:00:00"/>
        <d v="2023-08-13T00:00:00"/>
        <d v="2023-03-29T00:00:00"/>
        <d v="2023-06-21T00:00:00"/>
        <d v="2023-12-30T00:00:00"/>
        <d v="2023-01-18T00:00:00"/>
        <d v="2023-02-07T00:00:00"/>
        <d v="2023-06-23T00:00:00"/>
        <d v="2023-05-17T00:00:00"/>
        <d v="2023-12-28T00:00:00"/>
        <d v="2023-06-22T00:00:00"/>
        <d v="2023-06-06T00:00:00"/>
        <d v="2023-07-28T00:00:00"/>
        <d v="2023-07-20T00:00:00"/>
        <d v="2023-12-17T00:00:00"/>
        <d v="2023-02-08T00:00:00"/>
        <d v="2023-08-09T00:00:00"/>
        <d v="2023-03-31T00:00:00"/>
        <d v="2023-10-22T00:00:00"/>
        <d v="2023-02-20T00:00:00"/>
        <d v="2023-09-21T00:00:00"/>
        <d v="2023-08-02T00:00:00"/>
        <d v="2023-01-11T00:00:00"/>
        <d v="2023-09-04T00:00:00"/>
        <d v="2023-08-18T00:00:00"/>
        <d v="2023-05-01T00:00:00"/>
        <d v="2023-01-16T00:00:00"/>
        <d v="2023-02-04T00:00:00"/>
        <d v="2023-06-30T00:00:00"/>
        <d v="2023-11-14T00:00:00"/>
        <d v="2023-10-16T00:00:00"/>
        <d v="2023-04-17T00:00:00"/>
        <d v="2023-07-11T00:00:00"/>
        <d v="2023-09-29T00:00:00"/>
        <d v="2023-01-27T00:00:00"/>
        <d v="2023-03-07T00:00:00"/>
        <d v="2023-11-29T00:00:00"/>
        <d v="2023-02-18T00:00:00"/>
        <d v="2023-11-01T00:00:00"/>
        <d v="2023-05-19T00:00:00"/>
        <d v="2023-12-09T00:00:00"/>
        <m/>
      </sharedItems>
      <fieldGroup par="9"/>
    </cacheField>
    <cacheField name="Discharge Date" numFmtId="14">
      <sharedItems containsNonDate="0" containsDate="1" containsString="0" containsBlank="1" minDate="2023-01-25T00:00:00" maxDate="2024-01-14T00:00:00" count="88">
        <d v="2023-12-14T00:00:00"/>
        <d v="2024-01-09T00:00:00"/>
        <d v="2023-10-21T00:00:00"/>
        <d v="2023-05-11T00:00:00"/>
        <d v="2023-02-12T00:00:00"/>
        <d v="2023-02-17T00:00:00"/>
        <d v="2023-08-06T00:00:00"/>
        <d v="2023-10-12T00:00:00"/>
        <d v="2023-06-18T00:00:00"/>
        <d v="2023-12-08T00:00:00"/>
        <d v="2023-09-15T00:00:00"/>
        <d v="2023-03-25T00:00:00"/>
        <d v="2023-11-24T00:00:00"/>
        <d v="2023-09-24T00:00:00"/>
        <d v="2023-08-11T00:00:00"/>
        <d v="2023-06-30T00:00:00"/>
        <d v="2023-03-28T00:00:00"/>
        <d v="2023-11-22T00:00:00"/>
        <d v="2023-11-08T00:00:00"/>
        <d v="2023-02-18T00:00:00"/>
        <d v="2023-10-07T00:00:00"/>
        <d v="2023-04-22T00:00:00"/>
        <d v="2023-10-30T00:00:00"/>
        <d v="2023-03-29T00:00:00"/>
        <d v="2023-03-04T00:00:00"/>
        <d v="2023-11-16T00:00:00"/>
        <d v="2023-04-21T00:00:00"/>
        <d v="2023-05-10T00:00:00"/>
        <d v="2023-09-29T00:00:00"/>
        <d v="2023-05-21T00:00:00"/>
        <d v="2023-09-20T00:00:00"/>
        <d v="2023-08-28T00:00:00"/>
        <d v="2023-07-15T00:00:00"/>
        <d v="2023-06-17T00:00:00"/>
        <d v="2023-02-28T00:00:00"/>
        <d v="2023-01-26T00:00:00"/>
        <d v="2023-10-26T00:00:00"/>
        <d v="2023-05-29T00:00:00"/>
        <d v="2023-12-25T00:00:00"/>
        <d v="2023-06-16T00:00:00"/>
        <d v="2024-01-10T00:00:00"/>
        <d v="2023-11-26T00:00:00"/>
        <d v="2023-05-18T00:00:00"/>
        <d v="2023-07-24T00:00:00"/>
        <d v="2023-11-25T00:00:00"/>
        <d v="2023-08-17T00:00:00"/>
        <d v="2023-04-08T00:00:00"/>
        <d v="2023-07-05T00:00:00"/>
        <d v="2024-01-12T00:00:00"/>
        <d v="2023-02-02T00:00:00"/>
        <d v="2023-02-13T00:00:00"/>
        <d v="2023-07-01T00:00:00"/>
        <d v="2023-05-31T00:00:00"/>
        <d v="2024-01-07T00:00:00"/>
        <d v="2023-09-19T00:00:00"/>
        <d v="2023-06-27T00:00:00"/>
        <d v="2024-01-13T00:00:00"/>
        <d v="2023-11-13T00:00:00"/>
        <d v="2023-06-11T00:00:00"/>
        <d v="2023-08-04T00:00:00"/>
        <d v="2023-08-03T00:00:00"/>
        <d v="2023-12-30T00:00:00"/>
        <d v="2023-02-22T00:00:00"/>
        <d v="2023-08-19T00:00:00"/>
        <d v="2023-04-05T00:00:00"/>
        <d v="2023-11-05T00:00:00"/>
        <d v="2023-12-20T00:00:00"/>
        <d v="2023-03-06T00:00:00"/>
        <d v="2023-10-06T00:00:00"/>
        <d v="2023-08-07T00:00:00"/>
        <d v="2023-08-27T00:00:00"/>
        <d v="2023-05-02T00:00:00"/>
        <d v="2023-04-20T00:00:00"/>
        <d v="2023-01-25T00:00:00"/>
        <d v="2023-02-05T00:00:00"/>
        <d v="2023-06-09T00:00:00"/>
        <d v="2023-07-02T00:00:00"/>
        <d v="2023-11-21T00:00:00"/>
        <d v="2023-10-28T00:00:00"/>
        <d v="2023-10-01T00:00:00"/>
        <d v="2023-02-11T00:00:00"/>
        <d v="2023-03-18T00:00:00"/>
        <d v="2023-12-10T00:00:00"/>
        <d v="2023-02-19T00:00:00"/>
        <d v="2023-11-15T00:00:00"/>
        <d v="2023-05-26T00:00:00"/>
        <d v="2023-12-15T00:00:00"/>
        <m/>
      </sharedItems>
      <fieldGroup par="12"/>
    </cacheField>
    <cacheField name="Medical Expenses" numFmtId="0">
      <sharedItems containsString="0" containsBlank="1" containsNumber="1" minValue="2854.22" maxValue="49955.41" count="101">
        <n v="31364.880000000001"/>
        <n v="47280.19"/>
        <n v="28574.720000000001"/>
        <n v="7000.83"/>
        <n v="47210.46"/>
        <n v="18612.34"/>
        <n v="47808.55"/>
        <n v="12284.65"/>
        <n v="14650.23"/>
        <n v="30006.959999999999"/>
        <n v="13282.51"/>
        <n v="13481.9"/>
        <n v="36748.42"/>
        <n v="37056.51"/>
        <n v="15107.89"/>
        <n v="9348.5499999999993"/>
        <n v="48548.44"/>
        <n v="29942.75"/>
        <n v="43367.53"/>
        <n v="41367.1"/>
        <n v="30136.26"/>
        <n v="17698.490000000002"/>
        <n v="40799.019999999997"/>
        <n v="20952.509999999998"/>
        <n v="10882.4"/>
        <n v="25177.79"/>
        <n v="21666.78"/>
        <n v="37856.699999999997"/>
        <n v="25298.5"/>
        <n v="28558.23"/>
        <n v="44452.26"/>
        <n v="49955.41"/>
        <n v="14118.62"/>
        <n v="22074.89"/>
        <n v="18795.689999999999"/>
        <n v="26646.52"/>
        <n v="37057.29"/>
        <n v="40771.839999999997"/>
        <n v="40731.29"/>
        <n v="4872.04"/>
        <n v="44531.22"/>
        <n v="42769.14"/>
        <n v="14701.02"/>
        <n v="48466.080000000002"/>
        <n v="25367.78"/>
        <n v="32628.67"/>
        <n v="10166.89"/>
        <n v="15913.48"/>
        <n v="16757.509999999998"/>
        <n v="35720.61"/>
        <n v="9438.26"/>
        <n v="27223.46"/>
        <n v="35570.839999999997"/>
        <n v="26027.37"/>
        <n v="36909.89"/>
        <n v="8519.11"/>
        <n v="48873.72"/>
        <n v="31342.58"/>
        <n v="46741.91"/>
        <n v="26614.52"/>
        <n v="10978.18"/>
        <n v="31175.27"/>
        <n v="44290.86"/>
        <n v="7502.64"/>
        <n v="7121.37"/>
        <n v="48241"/>
        <n v="33446.239999999998"/>
        <n v="13590.65"/>
        <n v="20849.310000000001"/>
        <n v="4388.33"/>
        <n v="23916.63"/>
        <n v="5084.1099999999997"/>
        <n v="23328.9"/>
        <n v="33417.279999999999"/>
        <n v="36545.43"/>
        <n v="43687.01"/>
        <n v="13902.24"/>
        <n v="22456.61"/>
        <n v="23012.639999999999"/>
        <n v="33963.65"/>
        <n v="9775.99"/>
        <n v="17211.57"/>
        <n v="17999.48"/>
        <n v="42883.43"/>
        <n v="2854.22"/>
        <n v="8333.48"/>
        <n v="47678.73"/>
        <n v="44526.27"/>
        <n v="4514.63"/>
        <n v="25418.26"/>
        <n v="46666.48"/>
        <n v="39298.300000000003"/>
        <n v="45451.78"/>
        <n v="24556.18"/>
        <n v="7146.07"/>
        <n v="21065.59"/>
        <n v="41677.339999999997"/>
        <n v="47625.7"/>
        <n v="8684.16"/>
        <n v="17213.05"/>
        <m/>
      </sharedItems>
    </cacheField>
    <cacheField name="Days (Admission Date)" numFmtId="0" databaseField="0">
      <fieldGroup base="5">
        <rangePr groupBy="days" startDate="2023-01-11T00:00:00" endDate="2023-12-31T00:00:00"/>
        <groupItems count="368">
          <s v="&lt;11-01-202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1-12-2023"/>
        </groupItems>
      </fieldGroup>
    </cacheField>
    <cacheField name="Months (Admission Date)" numFmtId="0" databaseField="0">
      <fieldGroup base="5">
        <rangePr groupBy="months" startDate="2023-01-11T00:00:00" endDate="2023-12-31T00:00:00"/>
        <groupItems count="14">
          <s v="&lt;11-01-2023"/>
          <s v="Jan"/>
          <s v="Feb"/>
          <s v="Mar"/>
          <s v="Apr"/>
          <s v="May"/>
          <s v="Jun"/>
          <s v="Jul"/>
          <s v="Aug"/>
          <s v="Sep"/>
          <s v="Oct"/>
          <s v="Nov"/>
          <s v="Dec"/>
          <s v="&gt;31-12-2023"/>
        </groupItems>
      </fieldGroup>
    </cacheField>
    <cacheField name="Months (Discharge Date)" numFmtId="0" databaseField="0">
      <fieldGroup base="6">
        <rangePr groupBy="months" startDate="2023-01-25T00:00:00" endDate="2024-01-14T00:00:00"/>
        <groupItems count="14">
          <s v="&lt;25-01-2023"/>
          <s v="Jan"/>
          <s v="Feb"/>
          <s v="Mar"/>
          <s v="Apr"/>
          <s v="May"/>
          <s v="Jun"/>
          <s v="Jul"/>
          <s v="Aug"/>
          <s v="Sep"/>
          <s v="Oct"/>
          <s v="Nov"/>
          <s v="Dec"/>
          <s v="&gt;14-01-2024"/>
        </groupItems>
      </fieldGroup>
    </cacheField>
    <cacheField name="Quarters (Discharge Date)" numFmtId="0" databaseField="0">
      <fieldGroup base="6">
        <rangePr groupBy="quarters" startDate="2023-01-25T00:00:00" endDate="2024-01-14T00:00:00"/>
        <groupItems count="6">
          <s v="&lt;25-01-2023"/>
          <s v="Qtr1"/>
          <s v="Qtr2"/>
          <s v="Qtr3"/>
          <s v="Qtr4"/>
          <s v="&gt;14-01-2024"/>
        </groupItems>
      </fieldGroup>
    </cacheField>
    <cacheField name="Years (Discharge Date)" numFmtId="0" databaseField="0">
      <fieldGroup base="6">
        <rangePr groupBy="years" startDate="2023-01-25T00:00:00" endDate="2024-01-14T00:00:00"/>
        <groupItems count="4">
          <s v="&lt;25-01-2023"/>
          <s v="2023"/>
          <s v="2024"/>
          <s v="&gt;14-01-2024"/>
        </groupItems>
      </fieldGroup>
    </cacheField>
  </cacheFields>
  <extLst>
    <ext xmlns:x14="http://schemas.microsoft.com/office/spreadsheetml/2009/9/main" uri="{725AE2AE-9491-48be-B2B4-4EB974FC3084}">
      <x14:pivotCacheDefinition pivotCacheId="1103287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x v="0"/>
    <x v="0"/>
    <x v="0"/>
    <x v="0"/>
    <x v="0"/>
    <x v="0"/>
    <x v="0"/>
    <x v="0"/>
  </r>
  <r>
    <x v="1"/>
    <x v="1"/>
    <x v="1"/>
    <x v="1"/>
    <x v="1"/>
    <x v="1"/>
    <x v="1"/>
    <x v="1"/>
  </r>
  <r>
    <x v="0"/>
    <x v="2"/>
    <x v="2"/>
    <x v="2"/>
    <x v="2"/>
    <x v="2"/>
    <x v="2"/>
    <x v="2"/>
  </r>
  <r>
    <x v="2"/>
    <x v="3"/>
    <x v="3"/>
    <x v="3"/>
    <x v="3"/>
    <x v="3"/>
    <x v="3"/>
    <x v="3"/>
  </r>
  <r>
    <x v="3"/>
    <x v="4"/>
    <x v="4"/>
    <x v="4"/>
    <x v="4"/>
    <x v="4"/>
    <x v="4"/>
    <x v="4"/>
  </r>
  <r>
    <x v="2"/>
    <x v="3"/>
    <x v="5"/>
    <x v="5"/>
    <x v="4"/>
    <x v="5"/>
    <x v="5"/>
    <x v="5"/>
  </r>
  <r>
    <x v="4"/>
    <x v="2"/>
    <x v="5"/>
    <x v="6"/>
    <x v="5"/>
    <x v="6"/>
    <x v="6"/>
    <x v="6"/>
  </r>
  <r>
    <x v="5"/>
    <x v="5"/>
    <x v="6"/>
    <x v="7"/>
    <x v="6"/>
    <x v="7"/>
    <x v="7"/>
    <x v="7"/>
  </r>
  <r>
    <x v="2"/>
    <x v="5"/>
    <x v="1"/>
    <x v="8"/>
    <x v="7"/>
    <x v="8"/>
    <x v="8"/>
    <x v="8"/>
  </r>
  <r>
    <x v="6"/>
    <x v="1"/>
    <x v="2"/>
    <x v="9"/>
    <x v="8"/>
    <x v="9"/>
    <x v="9"/>
    <x v="9"/>
  </r>
  <r>
    <x v="7"/>
    <x v="6"/>
    <x v="7"/>
    <x v="10"/>
    <x v="9"/>
    <x v="10"/>
    <x v="10"/>
    <x v="10"/>
  </r>
  <r>
    <x v="1"/>
    <x v="5"/>
    <x v="3"/>
    <x v="6"/>
    <x v="10"/>
    <x v="11"/>
    <x v="11"/>
    <x v="11"/>
  </r>
  <r>
    <x v="3"/>
    <x v="7"/>
    <x v="8"/>
    <x v="11"/>
    <x v="11"/>
    <x v="12"/>
    <x v="12"/>
    <x v="12"/>
  </r>
  <r>
    <x v="1"/>
    <x v="5"/>
    <x v="0"/>
    <x v="12"/>
    <x v="12"/>
    <x v="13"/>
    <x v="13"/>
    <x v="13"/>
  </r>
  <r>
    <x v="8"/>
    <x v="2"/>
    <x v="4"/>
    <x v="13"/>
    <x v="13"/>
    <x v="14"/>
    <x v="14"/>
    <x v="14"/>
  </r>
  <r>
    <x v="7"/>
    <x v="0"/>
    <x v="8"/>
    <x v="14"/>
    <x v="12"/>
    <x v="15"/>
    <x v="15"/>
    <x v="15"/>
  </r>
  <r>
    <x v="6"/>
    <x v="0"/>
    <x v="2"/>
    <x v="15"/>
    <x v="14"/>
    <x v="16"/>
    <x v="16"/>
    <x v="16"/>
  </r>
  <r>
    <x v="7"/>
    <x v="2"/>
    <x v="9"/>
    <x v="16"/>
    <x v="15"/>
    <x v="17"/>
    <x v="17"/>
    <x v="17"/>
  </r>
  <r>
    <x v="5"/>
    <x v="8"/>
    <x v="3"/>
    <x v="17"/>
    <x v="16"/>
    <x v="18"/>
    <x v="18"/>
    <x v="18"/>
  </r>
  <r>
    <x v="1"/>
    <x v="6"/>
    <x v="3"/>
    <x v="18"/>
    <x v="17"/>
    <x v="19"/>
    <x v="19"/>
    <x v="19"/>
  </r>
  <r>
    <x v="9"/>
    <x v="9"/>
    <x v="7"/>
    <x v="19"/>
    <x v="15"/>
    <x v="20"/>
    <x v="20"/>
    <x v="20"/>
  </r>
  <r>
    <x v="5"/>
    <x v="3"/>
    <x v="7"/>
    <x v="20"/>
    <x v="18"/>
    <x v="21"/>
    <x v="21"/>
    <x v="21"/>
  </r>
  <r>
    <x v="1"/>
    <x v="2"/>
    <x v="5"/>
    <x v="11"/>
    <x v="19"/>
    <x v="22"/>
    <x v="22"/>
    <x v="22"/>
  </r>
  <r>
    <x v="5"/>
    <x v="3"/>
    <x v="0"/>
    <x v="21"/>
    <x v="20"/>
    <x v="23"/>
    <x v="23"/>
    <x v="23"/>
  </r>
  <r>
    <x v="3"/>
    <x v="7"/>
    <x v="5"/>
    <x v="13"/>
    <x v="21"/>
    <x v="24"/>
    <x v="24"/>
    <x v="24"/>
  </r>
  <r>
    <x v="5"/>
    <x v="1"/>
    <x v="1"/>
    <x v="8"/>
    <x v="22"/>
    <x v="25"/>
    <x v="25"/>
    <x v="25"/>
  </r>
  <r>
    <x v="5"/>
    <x v="7"/>
    <x v="1"/>
    <x v="8"/>
    <x v="23"/>
    <x v="26"/>
    <x v="26"/>
    <x v="26"/>
  </r>
  <r>
    <x v="5"/>
    <x v="7"/>
    <x v="7"/>
    <x v="2"/>
    <x v="24"/>
    <x v="27"/>
    <x v="27"/>
    <x v="27"/>
  </r>
  <r>
    <x v="7"/>
    <x v="1"/>
    <x v="8"/>
    <x v="18"/>
    <x v="25"/>
    <x v="28"/>
    <x v="28"/>
    <x v="28"/>
  </r>
  <r>
    <x v="3"/>
    <x v="3"/>
    <x v="7"/>
    <x v="19"/>
    <x v="26"/>
    <x v="29"/>
    <x v="29"/>
    <x v="29"/>
  </r>
  <r>
    <x v="4"/>
    <x v="0"/>
    <x v="7"/>
    <x v="22"/>
    <x v="27"/>
    <x v="30"/>
    <x v="30"/>
    <x v="30"/>
  </r>
  <r>
    <x v="7"/>
    <x v="6"/>
    <x v="9"/>
    <x v="2"/>
    <x v="28"/>
    <x v="31"/>
    <x v="31"/>
    <x v="31"/>
  </r>
  <r>
    <x v="6"/>
    <x v="5"/>
    <x v="7"/>
    <x v="23"/>
    <x v="29"/>
    <x v="32"/>
    <x v="32"/>
    <x v="32"/>
  </r>
  <r>
    <x v="4"/>
    <x v="5"/>
    <x v="3"/>
    <x v="23"/>
    <x v="30"/>
    <x v="33"/>
    <x v="33"/>
    <x v="33"/>
  </r>
  <r>
    <x v="4"/>
    <x v="4"/>
    <x v="0"/>
    <x v="6"/>
    <x v="31"/>
    <x v="34"/>
    <x v="34"/>
    <x v="34"/>
  </r>
  <r>
    <x v="0"/>
    <x v="5"/>
    <x v="9"/>
    <x v="0"/>
    <x v="32"/>
    <x v="35"/>
    <x v="35"/>
    <x v="35"/>
  </r>
  <r>
    <x v="1"/>
    <x v="5"/>
    <x v="5"/>
    <x v="1"/>
    <x v="33"/>
    <x v="36"/>
    <x v="36"/>
    <x v="36"/>
  </r>
  <r>
    <x v="7"/>
    <x v="8"/>
    <x v="6"/>
    <x v="18"/>
    <x v="34"/>
    <x v="37"/>
    <x v="37"/>
    <x v="37"/>
  </r>
  <r>
    <x v="3"/>
    <x v="4"/>
    <x v="3"/>
    <x v="24"/>
    <x v="35"/>
    <x v="38"/>
    <x v="38"/>
    <x v="38"/>
  </r>
  <r>
    <x v="0"/>
    <x v="7"/>
    <x v="3"/>
    <x v="7"/>
    <x v="36"/>
    <x v="39"/>
    <x v="39"/>
    <x v="39"/>
  </r>
  <r>
    <x v="9"/>
    <x v="7"/>
    <x v="9"/>
    <x v="6"/>
    <x v="37"/>
    <x v="1"/>
    <x v="40"/>
    <x v="40"/>
  </r>
  <r>
    <x v="5"/>
    <x v="0"/>
    <x v="1"/>
    <x v="3"/>
    <x v="38"/>
    <x v="40"/>
    <x v="10"/>
    <x v="41"/>
  </r>
  <r>
    <x v="1"/>
    <x v="9"/>
    <x v="4"/>
    <x v="9"/>
    <x v="27"/>
    <x v="41"/>
    <x v="41"/>
    <x v="42"/>
  </r>
  <r>
    <x v="3"/>
    <x v="5"/>
    <x v="4"/>
    <x v="5"/>
    <x v="39"/>
    <x v="42"/>
    <x v="42"/>
    <x v="43"/>
  </r>
  <r>
    <x v="8"/>
    <x v="9"/>
    <x v="1"/>
    <x v="7"/>
    <x v="40"/>
    <x v="43"/>
    <x v="43"/>
    <x v="44"/>
  </r>
  <r>
    <x v="6"/>
    <x v="2"/>
    <x v="7"/>
    <x v="1"/>
    <x v="41"/>
    <x v="44"/>
    <x v="16"/>
    <x v="45"/>
  </r>
  <r>
    <x v="2"/>
    <x v="7"/>
    <x v="3"/>
    <x v="9"/>
    <x v="42"/>
    <x v="45"/>
    <x v="44"/>
    <x v="46"/>
  </r>
  <r>
    <x v="6"/>
    <x v="9"/>
    <x v="2"/>
    <x v="3"/>
    <x v="43"/>
    <x v="46"/>
    <x v="45"/>
    <x v="47"/>
  </r>
  <r>
    <x v="7"/>
    <x v="3"/>
    <x v="2"/>
    <x v="9"/>
    <x v="44"/>
    <x v="41"/>
    <x v="17"/>
    <x v="48"/>
  </r>
  <r>
    <x v="0"/>
    <x v="2"/>
    <x v="9"/>
    <x v="12"/>
    <x v="45"/>
    <x v="47"/>
    <x v="46"/>
    <x v="49"/>
  </r>
  <r>
    <x v="6"/>
    <x v="5"/>
    <x v="6"/>
    <x v="25"/>
    <x v="26"/>
    <x v="48"/>
    <x v="47"/>
    <x v="50"/>
  </r>
  <r>
    <x v="0"/>
    <x v="7"/>
    <x v="8"/>
    <x v="11"/>
    <x v="1"/>
    <x v="49"/>
    <x v="48"/>
    <x v="51"/>
  </r>
  <r>
    <x v="9"/>
    <x v="4"/>
    <x v="4"/>
    <x v="26"/>
    <x v="28"/>
    <x v="50"/>
    <x v="49"/>
    <x v="52"/>
  </r>
  <r>
    <x v="7"/>
    <x v="2"/>
    <x v="3"/>
    <x v="27"/>
    <x v="46"/>
    <x v="51"/>
    <x v="50"/>
    <x v="53"/>
  </r>
  <r>
    <x v="8"/>
    <x v="6"/>
    <x v="3"/>
    <x v="28"/>
    <x v="47"/>
    <x v="52"/>
    <x v="51"/>
    <x v="54"/>
  </r>
  <r>
    <x v="1"/>
    <x v="1"/>
    <x v="5"/>
    <x v="17"/>
    <x v="48"/>
    <x v="23"/>
    <x v="23"/>
    <x v="55"/>
  </r>
  <r>
    <x v="9"/>
    <x v="0"/>
    <x v="2"/>
    <x v="8"/>
    <x v="49"/>
    <x v="53"/>
    <x v="52"/>
    <x v="56"/>
  </r>
  <r>
    <x v="9"/>
    <x v="3"/>
    <x v="6"/>
    <x v="29"/>
    <x v="50"/>
    <x v="54"/>
    <x v="53"/>
    <x v="57"/>
  </r>
  <r>
    <x v="4"/>
    <x v="2"/>
    <x v="0"/>
    <x v="13"/>
    <x v="51"/>
    <x v="50"/>
    <x v="35"/>
    <x v="58"/>
  </r>
  <r>
    <x v="4"/>
    <x v="9"/>
    <x v="1"/>
    <x v="30"/>
    <x v="52"/>
    <x v="13"/>
    <x v="54"/>
    <x v="59"/>
  </r>
  <r>
    <x v="7"/>
    <x v="2"/>
    <x v="3"/>
    <x v="31"/>
    <x v="53"/>
    <x v="55"/>
    <x v="55"/>
    <x v="60"/>
  </r>
  <r>
    <x v="4"/>
    <x v="8"/>
    <x v="1"/>
    <x v="31"/>
    <x v="54"/>
    <x v="1"/>
    <x v="56"/>
    <x v="61"/>
  </r>
  <r>
    <x v="8"/>
    <x v="1"/>
    <x v="0"/>
    <x v="32"/>
    <x v="55"/>
    <x v="45"/>
    <x v="57"/>
    <x v="62"/>
  </r>
  <r>
    <x v="2"/>
    <x v="9"/>
    <x v="1"/>
    <x v="33"/>
    <x v="36"/>
    <x v="28"/>
    <x v="28"/>
    <x v="63"/>
  </r>
  <r>
    <x v="9"/>
    <x v="7"/>
    <x v="1"/>
    <x v="32"/>
    <x v="46"/>
    <x v="56"/>
    <x v="58"/>
    <x v="64"/>
  </r>
  <r>
    <x v="2"/>
    <x v="5"/>
    <x v="3"/>
    <x v="10"/>
    <x v="9"/>
    <x v="57"/>
    <x v="59"/>
    <x v="65"/>
  </r>
  <r>
    <x v="3"/>
    <x v="2"/>
    <x v="9"/>
    <x v="16"/>
    <x v="21"/>
    <x v="58"/>
    <x v="60"/>
    <x v="66"/>
  </r>
  <r>
    <x v="1"/>
    <x v="9"/>
    <x v="1"/>
    <x v="16"/>
    <x v="30"/>
    <x v="59"/>
    <x v="61"/>
    <x v="67"/>
  </r>
  <r>
    <x v="3"/>
    <x v="0"/>
    <x v="4"/>
    <x v="20"/>
    <x v="32"/>
    <x v="60"/>
    <x v="62"/>
    <x v="68"/>
  </r>
  <r>
    <x v="6"/>
    <x v="3"/>
    <x v="9"/>
    <x v="4"/>
    <x v="56"/>
    <x v="61"/>
    <x v="63"/>
    <x v="69"/>
  </r>
  <r>
    <x v="7"/>
    <x v="1"/>
    <x v="2"/>
    <x v="21"/>
    <x v="57"/>
    <x v="62"/>
    <x v="64"/>
    <x v="70"/>
  </r>
  <r>
    <x v="2"/>
    <x v="9"/>
    <x v="3"/>
    <x v="34"/>
    <x v="58"/>
    <x v="63"/>
    <x v="65"/>
    <x v="71"/>
  </r>
  <r>
    <x v="5"/>
    <x v="2"/>
    <x v="9"/>
    <x v="20"/>
    <x v="59"/>
    <x v="0"/>
    <x v="66"/>
    <x v="72"/>
  </r>
  <r>
    <x v="3"/>
    <x v="8"/>
    <x v="2"/>
    <x v="17"/>
    <x v="60"/>
    <x v="64"/>
    <x v="67"/>
    <x v="73"/>
  </r>
  <r>
    <x v="7"/>
    <x v="5"/>
    <x v="8"/>
    <x v="24"/>
    <x v="61"/>
    <x v="65"/>
    <x v="68"/>
    <x v="74"/>
  </r>
  <r>
    <x v="8"/>
    <x v="5"/>
    <x v="5"/>
    <x v="35"/>
    <x v="62"/>
    <x v="32"/>
    <x v="32"/>
    <x v="75"/>
  </r>
  <r>
    <x v="8"/>
    <x v="4"/>
    <x v="8"/>
    <x v="19"/>
    <x v="53"/>
    <x v="66"/>
    <x v="69"/>
    <x v="76"/>
  </r>
  <r>
    <x v="5"/>
    <x v="6"/>
    <x v="9"/>
    <x v="11"/>
    <x v="63"/>
    <x v="67"/>
    <x v="35"/>
    <x v="77"/>
  </r>
  <r>
    <x v="9"/>
    <x v="0"/>
    <x v="3"/>
    <x v="20"/>
    <x v="17"/>
    <x v="68"/>
    <x v="54"/>
    <x v="78"/>
  </r>
  <r>
    <x v="2"/>
    <x v="7"/>
    <x v="9"/>
    <x v="36"/>
    <x v="64"/>
    <x v="69"/>
    <x v="70"/>
    <x v="79"/>
  </r>
  <r>
    <x v="5"/>
    <x v="3"/>
    <x v="4"/>
    <x v="15"/>
    <x v="65"/>
    <x v="70"/>
    <x v="71"/>
    <x v="80"/>
  </r>
  <r>
    <x v="9"/>
    <x v="2"/>
    <x v="3"/>
    <x v="23"/>
    <x v="66"/>
    <x v="21"/>
    <x v="72"/>
    <x v="81"/>
  </r>
  <r>
    <x v="4"/>
    <x v="2"/>
    <x v="3"/>
    <x v="14"/>
    <x v="67"/>
    <x v="71"/>
    <x v="73"/>
    <x v="82"/>
  </r>
  <r>
    <x v="9"/>
    <x v="3"/>
    <x v="7"/>
    <x v="37"/>
    <x v="14"/>
    <x v="72"/>
    <x v="74"/>
    <x v="83"/>
  </r>
  <r>
    <x v="4"/>
    <x v="8"/>
    <x v="8"/>
    <x v="31"/>
    <x v="68"/>
    <x v="33"/>
    <x v="75"/>
    <x v="84"/>
  </r>
  <r>
    <x v="8"/>
    <x v="5"/>
    <x v="9"/>
    <x v="15"/>
    <x v="26"/>
    <x v="16"/>
    <x v="11"/>
    <x v="85"/>
  </r>
  <r>
    <x v="3"/>
    <x v="2"/>
    <x v="3"/>
    <x v="38"/>
    <x v="69"/>
    <x v="73"/>
    <x v="76"/>
    <x v="86"/>
  </r>
  <r>
    <x v="1"/>
    <x v="2"/>
    <x v="7"/>
    <x v="8"/>
    <x v="70"/>
    <x v="74"/>
    <x v="77"/>
    <x v="87"/>
  </r>
  <r>
    <x v="7"/>
    <x v="1"/>
    <x v="6"/>
    <x v="13"/>
    <x v="71"/>
    <x v="75"/>
    <x v="78"/>
    <x v="88"/>
  </r>
  <r>
    <x v="9"/>
    <x v="2"/>
    <x v="4"/>
    <x v="28"/>
    <x v="72"/>
    <x v="76"/>
    <x v="21"/>
    <x v="89"/>
  </r>
  <r>
    <x v="4"/>
    <x v="1"/>
    <x v="0"/>
    <x v="24"/>
    <x v="73"/>
    <x v="77"/>
    <x v="43"/>
    <x v="90"/>
  </r>
  <r>
    <x v="1"/>
    <x v="3"/>
    <x v="1"/>
    <x v="35"/>
    <x v="74"/>
    <x v="13"/>
    <x v="54"/>
    <x v="91"/>
  </r>
  <r>
    <x v="8"/>
    <x v="8"/>
    <x v="6"/>
    <x v="39"/>
    <x v="75"/>
    <x v="78"/>
    <x v="79"/>
    <x v="92"/>
  </r>
  <r>
    <x v="4"/>
    <x v="5"/>
    <x v="2"/>
    <x v="37"/>
    <x v="31"/>
    <x v="79"/>
    <x v="80"/>
    <x v="93"/>
  </r>
  <r>
    <x v="6"/>
    <x v="4"/>
    <x v="5"/>
    <x v="2"/>
    <x v="76"/>
    <x v="80"/>
    <x v="81"/>
    <x v="94"/>
  </r>
  <r>
    <x v="0"/>
    <x v="9"/>
    <x v="4"/>
    <x v="20"/>
    <x v="77"/>
    <x v="81"/>
    <x v="82"/>
    <x v="95"/>
  </r>
  <r>
    <x v="2"/>
    <x v="5"/>
    <x v="6"/>
    <x v="33"/>
    <x v="78"/>
    <x v="82"/>
    <x v="83"/>
    <x v="96"/>
  </r>
  <r>
    <x v="7"/>
    <x v="9"/>
    <x v="5"/>
    <x v="15"/>
    <x v="79"/>
    <x v="83"/>
    <x v="84"/>
    <x v="97"/>
  </r>
  <r>
    <x v="9"/>
    <x v="7"/>
    <x v="9"/>
    <x v="30"/>
    <x v="80"/>
    <x v="84"/>
    <x v="85"/>
    <x v="98"/>
  </r>
  <r>
    <x v="7"/>
    <x v="9"/>
    <x v="3"/>
    <x v="16"/>
    <x v="13"/>
    <x v="85"/>
    <x v="86"/>
    <x v="99"/>
  </r>
  <r>
    <x v="10"/>
    <x v="10"/>
    <x v="10"/>
    <x v="40"/>
    <x v="81"/>
    <x v="86"/>
    <x v="87"/>
    <x v="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A43D97-228A-4F39-B1CC-039433ABC378}"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Admission Date">
  <location ref="D3:E9" firstHeaderRow="1" firstDataRow="1" firstDataCol="1"/>
  <pivotFields count="13">
    <pivotField showAll="0"/>
    <pivotField showAll="0">
      <items count="12">
        <item h="1" x="2"/>
        <item h="1" x="9"/>
        <item h="1" x="0"/>
        <item h="1" x="8"/>
        <item h="1" x="3"/>
        <item h="1" x="5"/>
        <item h="1" x="4"/>
        <item h="1" x="7"/>
        <item h="1" x="6"/>
        <item x="1"/>
        <item h="1" x="10"/>
        <item t="default"/>
      </items>
    </pivotField>
    <pivotField showAll="0">
      <items count="12">
        <item x="8"/>
        <item x="7"/>
        <item x="1"/>
        <item x="6"/>
        <item x="4"/>
        <item x="9"/>
        <item x="5"/>
        <item x="0"/>
        <item x="2"/>
        <item x="3"/>
        <item x="10"/>
        <item t="default"/>
      </items>
    </pivotField>
    <pivotField showAll="0">
      <items count="42">
        <item x="21"/>
        <item x="24"/>
        <item x="19"/>
        <item x="3"/>
        <item x="8"/>
        <item x="26"/>
        <item x="5"/>
        <item x="27"/>
        <item x="16"/>
        <item x="1"/>
        <item x="14"/>
        <item x="35"/>
        <item x="2"/>
        <item x="31"/>
        <item x="6"/>
        <item x="28"/>
        <item x="39"/>
        <item x="38"/>
        <item x="33"/>
        <item x="12"/>
        <item x="20"/>
        <item x="34"/>
        <item x="9"/>
        <item x="32"/>
        <item x="11"/>
        <item x="4"/>
        <item x="22"/>
        <item x="7"/>
        <item x="23"/>
        <item x="10"/>
        <item x="15"/>
        <item x="17"/>
        <item x="30"/>
        <item x="37"/>
        <item x="36"/>
        <item x="25"/>
        <item x="18"/>
        <item x="0"/>
        <item x="13"/>
        <item x="29"/>
        <item x="40"/>
        <item t="default"/>
      </items>
    </pivotField>
    <pivotField dataField="1" showAll="0">
      <items count="83">
        <item x="72"/>
        <item x="39"/>
        <item x="34"/>
        <item x="71"/>
        <item x="40"/>
        <item x="60"/>
        <item x="67"/>
        <item x="62"/>
        <item x="13"/>
        <item x="10"/>
        <item x="24"/>
        <item x="33"/>
        <item x="57"/>
        <item x="50"/>
        <item x="75"/>
        <item x="48"/>
        <item x="73"/>
        <item x="53"/>
        <item x="1"/>
        <item x="58"/>
        <item x="25"/>
        <item x="63"/>
        <item x="56"/>
        <item x="52"/>
        <item x="22"/>
        <item x="12"/>
        <item x="38"/>
        <item x="30"/>
        <item x="45"/>
        <item x="54"/>
        <item x="11"/>
        <item x="15"/>
        <item x="27"/>
        <item x="9"/>
        <item x="46"/>
        <item x="4"/>
        <item x="76"/>
        <item x="20"/>
        <item x="32"/>
        <item x="36"/>
        <item x="26"/>
        <item x="21"/>
        <item x="28"/>
        <item x="14"/>
        <item x="5"/>
        <item x="59"/>
        <item x="70"/>
        <item x="8"/>
        <item x="66"/>
        <item x="47"/>
        <item x="61"/>
        <item x="16"/>
        <item x="41"/>
        <item x="19"/>
        <item x="2"/>
        <item x="55"/>
        <item x="77"/>
        <item x="69"/>
        <item x="31"/>
        <item x="49"/>
        <item x="51"/>
        <item x="29"/>
        <item x="65"/>
        <item x="68"/>
        <item x="74"/>
        <item x="17"/>
        <item x="44"/>
        <item x="42"/>
        <item x="80"/>
        <item x="35"/>
        <item x="37"/>
        <item x="78"/>
        <item x="23"/>
        <item x="3"/>
        <item x="6"/>
        <item x="43"/>
        <item x="0"/>
        <item x="18"/>
        <item x="79"/>
        <item x="64"/>
        <item x="7"/>
        <item x="81"/>
        <item t="default"/>
      </items>
    </pivotField>
    <pivotField axis="axisRow" showAll="0">
      <items count="88">
        <item x="67"/>
        <item x="71"/>
        <item x="50"/>
        <item x="35"/>
        <item x="79"/>
        <item x="72"/>
        <item x="5"/>
        <item x="51"/>
        <item x="60"/>
        <item x="4"/>
        <item x="34"/>
        <item x="19"/>
        <item x="82"/>
        <item x="64"/>
        <item x="24"/>
        <item x="80"/>
        <item x="11"/>
        <item x="16"/>
        <item x="23"/>
        <item x="44"/>
        <item x="47"/>
        <item x="62"/>
        <item x="26"/>
        <item x="21"/>
        <item x="76"/>
        <item x="3"/>
        <item x="70"/>
        <item x="27"/>
        <item x="29"/>
        <item x="42"/>
        <item x="53"/>
        <item x="84"/>
        <item x="37"/>
        <item x="56"/>
        <item x="33"/>
        <item x="39"/>
        <item x="8"/>
        <item x="48"/>
        <item x="55"/>
        <item x="52"/>
        <item x="15"/>
        <item x="73"/>
        <item x="32"/>
        <item x="43"/>
        <item x="77"/>
        <item x="58"/>
        <item x="57"/>
        <item x="6"/>
        <item x="66"/>
        <item x="14"/>
        <item x="61"/>
        <item x="46"/>
        <item x="69"/>
        <item x="31"/>
        <item x="68"/>
        <item x="40"/>
        <item x="10"/>
        <item x="13"/>
        <item x="30"/>
        <item x="65"/>
        <item x="28"/>
        <item x="78"/>
        <item x="7"/>
        <item x="20"/>
        <item x="2"/>
        <item x="75"/>
        <item x="63"/>
        <item x="36"/>
        <item x="22"/>
        <item x="83"/>
        <item x="18"/>
        <item x="25"/>
        <item x="45"/>
        <item x="17"/>
        <item x="41"/>
        <item x="74"/>
        <item x="12"/>
        <item x="81"/>
        <item x="9"/>
        <item x="85"/>
        <item x="0"/>
        <item x="38"/>
        <item x="59"/>
        <item x="54"/>
        <item x="1"/>
        <item x="49"/>
        <item x="86"/>
        <item t="default"/>
      </items>
    </pivotField>
    <pivotField showAll="0">
      <items count="89">
        <item x="73"/>
        <item x="35"/>
        <item x="49"/>
        <item x="74"/>
        <item x="80"/>
        <item x="4"/>
        <item x="50"/>
        <item x="5"/>
        <item x="19"/>
        <item x="83"/>
        <item x="62"/>
        <item x="34"/>
        <item x="24"/>
        <item x="67"/>
        <item x="81"/>
        <item x="11"/>
        <item x="16"/>
        <item x="23"/>
        <item x="64"/>
        <item x="46"/>
        <item x="72"/>
        <item x="26"/>
        <item x="21"/>
        <item x="71"/>
        <item x="27"/>
        <item x="3"/>
        <item x="42"/>
        <item x="29"/>
        <item x="85"/>
        <item x="37"/>
        <item x="52"/>
        <item x="75"/>
        <item x="58"/>
        <item x="39"/>
        <item x="33"/>
        <item x="8"/>
        <item x="55"/>
        <item x="15"/>
        <item x="51"/>
        <item x="76"/>
        <item x="47"/>
        <item x="32"/>
        <item x="43"/>
        <item x="60"/>
        <item x="59"/>
        <item x="6"/>
        <item x="69"/>
        <item x="14"/>
        <item x="45"/>
        <item x="63"/>
        <item x="70"/>
        <item x="31"/>
        <item x="10"/>
        <item x="54"/>
        <item x="30"/>
        <item x="13"/>
        <item x="28"/>
        <item x="79"/>
        <item x="68"/>
        <item x="20"/>
        <item x="7"/>
        <item x="2"/>
        <item x="36"/>
        <item x="78"/>
        <item x="22"/>
        <item x="65"/>
        <item x="18"/>
        <item x="57"/>
        <item x="84"/>
        <item x="25"/>
        <item x="77"/>
        <item x="17"/>
        <item x="12"/>
        <item x="44"/>
        <item x="41"/>
        <item x="9"/>
        <item x="82"/>
        <item x="0"/>
        <item x="86"/>
        <item x="66"/>
        <item x="38"/>
        <item x="61"/>
        <item x="53"/>
        <item x="1"/>
        <item x="40"/>
        <item x="48"/>
        <item x="56"/>
        <item x="87"/>
        <item t="default"/>
      </items>
    </pivotField>
    <pivotField showAll="0">
      <items count="102">
        <item x="84"/>
        <item x="69"/>
        <item x="88"/>
        <item x="39"/>
        <item x="71"/>
        <item x="3"/>
        <item x="64"/>
        <item x="94"/>
        <item x="63"/>
        <item x="85"/>
        <item x="55"/>
        <item x="98"/>
        <item x="15"/>
        <item x="50"/>
        <item x="80"/>
        <item x="46"/>
        <item x="24"/>
        <item x="60"/>
        <item x="7"/>
        <item x="10"/>
        <item x="11"/>
        <item x="67"/>
        <item x="76"/>
        <item x="32"/>
        <item x="8"/>
        <item x="42"/>
        <item x="14"/>
        <item x="47"/>
        <item x="48"/>
        <item x="81"/>
        <item x="99"/>
        <item x="21"/>
        <item x="82"/>
        <item x="5"/>
        <item x="34"/>
        <item x="68"/>
        <item x="23"/>
        <item x="95"/>
        <item x="26"/>
        <item x="33"/>
        <item x="77"/>
        <item x="78"/>
        <item x="72"/>
        <item x="70"/>
        <item x="93"/>
        <item x="25"/>
        <item x="28"/>
        <item x="44"/>
        <item x="89"/>
        <item x="53"/>
        <item x="59"/>
        <item x="35"/>
        <item x="51"/>
        <item x="29"/>
        <item x="2"/>
        <item x="17"/>
        <item x="9"/>
        <item x="20"/>
        <item x="61"/>
        <item x="57"/>
        <item x="0"/>
        <item x="45"/>
        <item x="73"/>
        <item x="66"/>
        <item x="79"/>
        <item x="52"/>
        <item x="49"/>
        <item x="74"/>
        <item x="12"/>
        <item x="54"/>
        <item x="13"/>
        <item x="36"/>
        <item x="27"/>
        <item x="91"/>
        <item x="38"/>
        <item x="37"/>
        <item x="22"/>
        <item x="19"/>
        <item x="96"/>
        <item x="41"/>
        <item x="83"/>
        <item x="18"/>
        <item x="75"/>
        <item x="62"/>
        <item x="30"/>
        <item x="87"/>
        <item x="40"/>
        <item x="92"/>
        <item x="90"/>
        <item x="58"/>
        <item x="4"/>
        <item x="1"/>
        <item x="97"/>
        <item x="86"/>
        <item x="6"/>
        <item x="65"/>
        <item x="43"/>
        <item x="16"/>
        <item x="56"/>
        <item x="31"/>
        <item x="100"/>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h="1" sd="0" x="0"/>
        <item sd="0" x="1"/>
        <item sd="0" x="2"/>
        <item sd="0" x="3"/>
        <item sd="0" x="4"/>
        <item sd="0" x="5"/>
        <item sd="0" x="6"/>
        <item sd="0" x="7"/>
        <item sd="0" x="8"/>
        <item sd="0" x="9"/>
        <item sd="0" x="10"/>
        <item sd="0" x="11"/>
        <item sd="0" x="12"/>
        <item h="1" sd="0"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2">
    <field x="9"/>
    <field x="5"/>
  </rowFields>
  <rowItems count="6">
    <i>
      <x v="3"/>
    </i>
    <i>
      <x v="7"/>
    </i>
    <i>
      <x v="9"/>
    </i>
    <i>
      <x v="10"/>
    </i>
    <i>
      <x v="11"/>
    </i>
    <i>
      <x v="12"/>
    </i>
  </rowItems>
  <colItems count="1">
    <i/>
  </colItems>
  <dataFields count="1">
    <dataField name="Total Patients" fld="4" baseField="9" baseItem="1"/>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12711E-A789-4065-B472-06508888E075}" name="PivotTable1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D16:L23" firstHeaderRow="1" firstDataRow="2" firstDataCol="1"/>
  <pivotFields count="13">
    <pivotField showAll="0"/>
    <pivotField showAll="0">
      <items count="12">
        <item h="1" x="2"/>
        <item h="1" x="9"/>
        <item h="1" x="0"/>
        <item h="1" x="8"/>
        <item h="1" x="3"/>
        <item h="1" x="5"/>
        <item h="1" x="4"/>
        <item h="1" x="7"/>
        <item h="1" x="6"/>
        <item x="1"/>
        <item h="1" x="10"/>
        <item t="default"/>
      </items>
    </pivotField>
    <pivotField showAll="0">
      <items count="12">
        <item x="8"/>
        <item x="7"/>
        <item x="1"/>
        <item x="6"/>
        <item x="4"/>
        <item x="9"/>
        <item x="5"/>
        <item x="0"/>
        <item x="2"/>
        <item x="3"/>
        <item x="10"/>
        <item t="default"/>
      </items>
    </pivotField>
    <pivotField showAll="0">
      <items count="42">
        <item x="21"/>
        <item x="24"/>
        <item x="19"/>
        <item x="3"/>
        <item x="8"/>
        <item x="26"/>
        <item x="5"/>
        <item x="27"/>
        <item x="16"/>
        <item x="1"/>
        <item x="14"/>
        <item x="35"/>
        <item x="2"/>
        <item x="31"/>
        <item x="6"/>
        <item x="28"/>
        <item x="39"/>
        <item x="38"/>
        <item x="33"/>
        <item x="12"/>
        <item x="20"/>
        <item x="34"/>
        <item x="9"/>
        <item x="32"/>
        <item x="11"/>
        <item x="4"/>
        <item x="22"/>
        <item x="7"/>
        <item x="23"/>
        <item x="10"/>
        <item x="15"/>
        <item x="17"/>
        <item x="30"/>
        <item x="37"/>
        <item x="36"/>
        <item x="25"/>
        <item x="18"/>
        <item x="0"/>
        <item x="13"/>
        <item x="29"/>
        <item x="40"/>
        <item t="default"/>
      </items>
    </pivotField>
    <pivotField dataField="1" showAll="0">
      <items count="83">
        <item x="72"/>
        <item x="39"/>
        <item x="34"/>
        <item x="71"/>
        <item x="40"/>
        <item x="60"/>
        <item x="67"/>
        <item x="62"/>
        <item x="13"/>
        <item x="10"/>
        <item x="24"/>
        <item x="33"/>
        <item x="57"/>
        <item x="50"/>
        <item x="75"/>
        <item x="48"/>
        <item x="73"/>
        <item x="53"/>
        <item x="1"/>
        <item x="58"/>
        <item x="25"/>
        <item x="63"/>
        <item x="56"/>
        <item x="52"/>
        <item x="22"/>
        <item x="12"/>
        <item x="38"/>
        <item x="30"/>
        <item x="45"/>
        <item x="54"/>
        <item x="11"/>
        <item x="15"/>
        <item x="27"/>
        <item x="9"/>
        <item x="46"/>
        <item x="4"/>
        <item x="76"/>
        <item x="20"/>
        <item x="32"/>
        <item x="36"/>
        <item x="26"/>
        <item x="21"/>
        <item x="28"/>
        <item x="14"/>
        <item x="5"/>
        <item x="59"/>
        <item x="70"/>
        <item x="8"/>
        <item x="66"/>
        <item x="47"/>
        <item x="61"/>
        <item x="16"/>
        <item x="41"/>
        <item x="19"/>
        <item x="2"/>
        <item x="55"/>
        <item x="77"/>
        <item x="69"/>
        <item x="31"/>
        <item x="49"/>
        <item x="51"/>
        <item x="29"/>
        <item x="65"/>
        <item x="68"/>
        <item x="74"/>
        <item x="17"/>
        <item x="44"/>
        <item x="42"/>
        <item x="80"/>
        <item x="35"/>
        <item x="37"/>
        <item x="78"/>
        <item x="23"/>
        <item x="3"/>
        <item x="6"/>
        <item x="43"/>
        <item x="0"/>
        <item x="18"/>
        <item x="79"/>
        <item x="64"/>
        <item x="7"/>
        <item x="81"/>
        <item t="default"/>
      </items>
    </pivotField>
    <pivotField showAll="0">
      <items count="88">
        <item x="67"/>
        <item x="71"/>
        <item x="50"/>
        <item x="35"/>
        <item x="79"/>
        <item x="72"/>
        <item x="5"/>
        <item x="51"/>
        <item x="60"/>
        <item x="4"/>
        <item x="34"/>
        <item x="19"/>
        <item x="82"/>
        <item x="64"/>
        <item x="24"/>
        <item x="80"/>
        <item x="11"/>
        <item x="16"/>
        <item x="23"/>
        <item x="44"/>
        <item x="47"/>
        <item x="62"/>
        <item x="26"/>
        <item x="21"/>
        <item x="76"/>
        <item x="3"/>
        <item x="70"/>
        <item x="27"/>
        <item x="29"/>
        <item x="42"/>
        <item x="53"/>
        <item x="84"/>
        <item x="37"/>
        <item x="56"/>
        <item x="33"/>
        <item x="39"/>
        <item x="8"/>
        <item x="48"/>
        <item x="55"/>
        <item x="52"/>
        <item x="15"/>
        <item x="73"/>
        <item x="32"/>
        <item x="43"/>
        <item x="77"/>
        <item x="58"/>
        <item x="57"/>
        <item x="6"/>
        <item x="66"/>
        <item x="14"/>
        <item x="61"/>
        <item x="46"/>
        <item x="69"/>
        <item x="31"/>
        <item x="68"/>
        <item x="40"/>
        <item x="10"/>
        <item x="13"/>
        <item x="30"/>
        <item x="65"/>
        <item x="28"/>
        <item x="78"/>
        <item x="7"/>
        <item x="20"/>
        <item x="2"/>
        <item x="75"/>
        <item x="63"/>
        <item x="36"/>
        <item x="22"/>
        <item x="83"/>
        <item x="18"/>
        <item x="25"/>
        <item x="45"/>
        <item x="17"/>
        <item x="41"/>
        <item x="74"/>
        <item x="12"/>
        <item x="81"/>
        <item x="9"/>
        <item x="85"/>
        <item x="0"/>
        <item x="38"/>
        <item x="59"/>
        <item x="54"/>
        <item x="1"/>
        <item x="49"/>
        <item x="86"/>
        <item t="default"/>
      </items>
    </pivotField>
    <pivotField showAll="0">
      <items count="89">
        <item x="73"/>
        <item x="35"/>
        <item x="49"/>
        <item x="74"/>
        <item x="80"/>
        <item x="4"/>
        <item x="50"/>
        <item x="5"/>
        <item x="19"/>
        <item x="83"/>
        <item x="62"/>
        <item x="34"/>
        <item x="24"/>
        <item x="67"/>
        <item x="81"/>
        <item x="11"/>
        <item x="16"/>
        <item x="23"/>
        <item x="64"/>
        <item x="46"/>
        <item x="72"/>
        <item x="26"/>
        <item x="21"/>
        <item x="71"/>
        <item x="27"/>
        <item x="3"/>
        <item x="42"/>
        <item x="29"/>
        <item x="85"/>
        <item x="37"/>
        <item x="52"/>
        <item x="75"/>
        <item x="58"/>
        <item x="39"/>
        <item x="33"/>
        <item x="8"/>
        <item x="55"/>
        <item x="15"/>
        <item x="51"/>
        <item x="76"/>
        <item x="47"/>
        <item x="32"/>
        <item x="43"/>
        <item x="60"/>
        <item x="59"/>
        <item x="6"/>
        <item x="69"/>
        <item x="14"/>
        <item x="45"/>
        <item x="63"/>
        <item x="70"/>
        <item x="31"/>
        <item x="10"/>
        <item x="54"/>
        <item x="30"/>
        <item x="13"/>
        <item x="28"/>
        <item x="79"/>
        <item x="68"/>
        <item x="20"/>
        <item x="7"/>
        <item x="2"/>
        <item x="36"/>
        <item x="78"/>
        <item x="22"/>
        <item x="65"/>
        <item x="18"/>
        <item x="57"/>
        <item x="84"/>
        <item x="25"/>
        <item x="77"/>
        <item x="17"/>
        <item x="12"/>
        <item x="44"/>
        <item x="41"/>
        <item x="9"/>
        <item x="82"/>
        <item x="0"/>
        <item x="86"/>
        <item x="66"/>
        <item x="38"/>
        <item x="61"/>
        <item x="53"/>
        <item x="1"/>
        <item x="40"/>
        <item x="48"/>
        <item x="56"/>
        <item x="87"/>
        <item t="default"/>
      </items>
    </pivotField>
    <pivotField showAll="0">
      <items count="102">
        <item x="84"/>
        <item x="69"/>
        <item x="88"/>
        <item x="39"/>
        <item x="71"/>
        <item x="3"/>
        <item x="64"/>
        <item x="94"/>
        <item x="63"/>
        <item x="85"/>
        <item x="55"/>
        <item x="98"/>
        <item x="15"/>
        <item x="50"/>
        <item x="80"/>
        <item x="46"/>
        <item x="24"/>
        <item x="60"/>
        <item x="7"/>
        <item x="10"/>
        <item x="11"/>
        <item x="67"/>
        <item x="76"/>
        <item x="32"/>
        <item x="8"/>
        <item x="42"/>
        <item x="14"/>
        <item x="47"/>
        <item x="48"/>
        <item x="81"/>
        <item x="99"/>
        <item x="21"/>
        <item x="82"/>
        <item x="5"/>
        <item x="34"/>
        <item x="68"/>
        <item x="23"/>
        <item x="95"/>
        <item x="26"/>
        <item x="33"/>
        <item x="77"/>
        <item x="78"/>
        <item x="72"/>
        <item x="70"/>
        <item x="93"/>
        <item x="25"/>
        <item x="28"/>
        <item x="44"/>
        <item x="89"/>
        <item x="53"/>
        <item x="59"/>
        <item x="35"/>
        <item x="51"/>
        <item x="29"/>
        <item x="2"/>
        <item x="17"/>
        <item x="9"/>
        <item x="20"/>
        <item x="61"/>
        <item x="57"/>
        <item x="0"/>
        <item x="45"/>
        <item x="73"/>
        <item x="66"/>
        <item x="79"/>
        <item x="52"/>
        <item x="49"/>
        <item x="74"/>
        <item x="12"/>
        <item x="54"/>
        <item x="13"/>
        <item x="36"/>
        <item x="27"/>
        <item x="91"/>
        <item x="38"/>
        <item x="37"/>
        <item x="22"/>
        <item x="19"/>
        <item x="96"/>
        <item x="41"/>
        <item x="83"/>
        <item x="18"/>
        <item x="75"/>
        <item x="62"/>
        <item x="30"/>
        <item x="87"/>
        <item x="40"/>
        <item x="92"/>
        <item x="90"/>
        <item x="58"/>
        <item x="4"/>
        <item x="1"/>
        <item x="97"/>
        <item x="86"/>
        <item x="6"/>
        <item x="65"/>
        <item x="43"/>
        <item x="16"/>
        <item x="56"/>
        <item x="31"/>
        <item x="100"/>
        <item t="default"/>
      </items>
    </pivotField>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h="1" sd="0" x="0"/>
        <item sd="0" x="1"/>
        <item sd="0" x="2"/>
        <item sd="0" x="3"/>
        <item sd="0" x="4"/>
        <item sd="0" x="5"/>
        <item sd="0" x="6"/>
        <item sd="0" x="7"/>
        <item sd="0" x="8"/>
        <item sd="0" x="9"/>
        <item sd="0" x="10"/>
        <item sd="0" x="11"/>
        <item sd="0" x="12"/>
        <item h="1" sd="0" x="13"/>
      </items>
    </pivotField>
    <pivotField axis="axisCol"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9"/>
  </rowFields>
  <rowItems count="6">
    <i>
      <x v="3"/>
    </i>
    <i>
      <x v="7"/>
    </i>
    <i>
      <x v="9"/>
    </i>
    <i>
      <x v="10"/>
    </i>
    <i>
      <x v="11"/>
    </i>
    <i>
      <x v="12"/>
    </i>
  </rowItems>
  <colFields count="1">
    <field x="10"/>
  </colFields>
  <colItems count="8">
    <i>
      <x v="1"/>
    </i>
    <i>
      <x v="3"/>
    </i>
    <i>
      <x v="4"/>
    </i>
    <i>
      <x v="7"/>
    </i>
    <i>
      <x v="9"/>
    </i>
    <i>
      <x v="10"/>
    </i>
    <i>
      <x v="11"/>
    </i>
    <i>
      <x v="12"/>
    </i>
  </colItems>
  <dataFields count="1">
    <dataField name="Sum of Patients Cou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E988815-850A-416E-8F3B-CED520258D5C}"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Departments">
  <location ref="A3:B9" firstHeaderRow="1" firstDataRow="1" firstDataCol="1"/>
  <pivotFields count="13">
    <pivotField showAll="0">
      <items count="12">
        <item x="5"/>
        <item x="3"/>
        <item x="1"/>
        <item x="4"/>
        <item x="6"/>
        <item x="7"/>
        <item x="2"/>
        <item x="9"/>
        <item x="8"/>
        <item x="0"/>
        <item h="1" x="10"/>
        <item t="default"/>
      </items>
    </pivotField>
    <pivotField showAll="0">
      <items count="12">
        <item h="1" x="2"/>
        <item h="1" x="9"/>
        <item h="1" x="0"/>
        <item h="1" x="8"/>
        <item h="1" x="3"/>
        <item h="1" x="5"/>
        <item h="1" x="4"/>
        <item h="1" x="7"/>
        <item h="1" x="6"/>
        <item x="1"/>
        <item h="1" x="10"/>
        <item t="default"/>
      </items>
    </pivotField>
    <pivotField axis="axisRow" showAll="0">
      <items count="12">
        <item x="8"/>
        <item x="7"/>
        <item x="1"/>
        <item x="6"/>
        <item x="4"/>
        <item x="9"/>
        <item x="5"/>
        <item x="0"/>
        <item x="2"/>
        <item x="3"/>
        <item x="10"/>
        <item t="default"/>
      </items>
    </pivotField>
    <pivotField showAll="0"/>
    <pivotField dataField="1" showAll="0"/>
    <pivotField showAll="0">
      <items count="88">
        <item x="67"/>
        <item x="71"/>
        <item x="50"/>
        <item x="35"/>
        <item x="79"/>
        <item x="72"/>
        <item x="5"/>
        <item x="51"/>
        <item x="60"/>
        <item x="4"/>
        <item x="34"/>
        <item x="19"/>
        <item x="82"/>
        <item x="64"/>
        <item x="24"/>
        <item x="80"/>
        <item x="11"/>
        <item x="16"/>
        <item x="23"/>
        <item x="44"/>
        <item x="47"/>
        <item x="62"/>
        <item x="26"/>
        <item x="21"/>
        <item x="76"/>
        <item x="3"/>
        <item x="70"/>
        <item x="27"/>
        <item x="29"/>
        <item x="42"/>
        <item x="53"/>
        <item x="84"/>
        <item x="37"/>
        <item x="56"/>
        <item x="33"/>
        <item x="39"/>
        <item x="8"/>
        <item x="48"/>
        <item x="55"/>
        <item x="52"/>
        <item x="15"/>
        <item x="73"/>
        <item x="32"/>
        <item x="43"/>
        <item x="77"/>
        <item x="58"/>
        <item x="57"/>
        <item x="6"/>
        <item x="66"/>
        <item x="14"/>
        <item x="61"/>
        <item x="46"/>
        <item x="69"/>
        <item x="31"/>
        <item x="68"/>
        <item x="40"/>
        <item x="10"/>
        <item x="13"/>
        <item x="30"/>
        <item x="65"/>
        <item x="28"/>
        <item x="78"/>
        <item x="7"/>
        <item x="20"/>
        <item x="2"/>
        <item x="75"/>
        <item x="63"/>
        <item x="36"/>
        <item x="22"/>
        <item x="83"/>
        <item x="18"/>
        <item x="25"/>
        <item x="45"/>
        <item x="17"/>
        <item x="41"/>
        <item x="74"/>
        <item x="12"/>
        <item x="81"/>
        <item x="9"/>
        <item x="85"/>
        <item x="0"/>
        <item x="38"/>
        <item x="59"/>
        <item x="54"/>
        <item x="1"/>
        <item x="49"/>
        <item x="86"/>
        <item t="default"/>
      </items>
    </pivotField>
    <pivotField showAll="0">
      <items count="89">
        <item x="73"/>
        <item x="35"/>
        <item x="49"/>
        <item x="74"/>
        <item x="80"/>
        <item x="4"/>
        <item x="50"/>
        <item x="5"/>
        <item x="19"/>
        <item x="83"/>
        <item x="62"/>
        <item x="34"/>
        <item x="24"/>
        <item x="67"/>
        <item x="81"/>
        <item x="11"/>
        <item x="16"/>
        <item x="23"/>
        <item x="64"/>
        <item x="46"/>
        <item x="72"/>
        <item x="26"/>
        <item x="21"/>
        <item x="71"/>
        <item x="27"/>
        <item x="3"/>
        <item x="42"/>
        <item x="29"/>
        <item x="85"/>
        <item x="37"/>
        <item x="52"/>
        <item x="75"/>
        <item x="58"/>
        <item x="39"/>
        <item x="33"/>
        <item x="8"/>
        <item x="55"/>
        <item x="15"/>
        <item x="51"/>
        <item x="76"/>
        <item x="47"/>
        <item x="32"/>
        <item x="43"/>
        <item x="60"/>
        <item x="59"/>
        <item x="6"/>
        <item x="69"/>
        <item x="14"/>
        <item x="45"/>
        <item x="63"/>
        <item x="70"/>
        <item x="31"/>
        <item x="10"/>
        <item x="54"/>
        <item x="30"/>
        <item x="13"/>
        <item x="28"/>
        <item x="79"/>
        <item x="68"/>
        <item x="20"/>
        <item x="7"/>
        <item x="2"/>
        <item x="36"/>
        <item x="78"/>
        <item x="22"/>
        <item x="65"/>
        <item x="18"/>
        <item x="57"/>
        <item x="84"/>
        <item x="25"/>
        <item x="77"/>
        <item x="17"/>
        <item x="12"/>
        <item x="44"/>
        <item x="41"/>
        <item x="9"/>
        <item x="82"/>
        <item x="0"/>
        <item x="86"/>
        <item x="66"/>
        <item x="38"/>
        <item x="61"/>
        <item x="53"/>
        <item x="1"/>
        <item x="40"/>
        <item x="48"/>
        <item x="56"/>
        <item x="87"/>
        <item t="default"/>
      </items>
    </pivotField>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2"/>
  </rowFields>
  <rowItems count="6">
    <i>
      <x/>
    </i>
    <i>
      <x v="2"/>
    </i>
    <i>
      <x v="3"/>
    </i>
    <i>
      <x v="6"/>
    </i>
    <i>
      <x v="7"/>
    </i>
    <i>
      <x v="8"/>
    </i>
  </rowItems>
  <colItems count="1">
    <i/>
  </colItems>
  <dataFields count="1">
    <dataField name="Total Patients" fld="4" baseField="2" baseItem="0"/>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7491498-6681-4727-A2AF-7DDD16C90C87}"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location ref="X15:AD22" firstHeaderRow="1" firstDataRow="2" firstDataCol="1"/>
  <pivotFields count="13">
    <pivotField axis="axisRow" showAll="0">
      <items count="12">
        <item x="5"/>
        <item x="3"/>
        <item x="1"/>
        <item x="4"/>
        <item x="6"/>
        <item x="7"/>
        <item x="2"/>
        <item x="9"/>
        <item x="8"/>
        <item x="0"/>
        <item h="1" x="10"/>
        <item t="default"/>
      </items>
    </pivotField>
    <pivotField showAll="0">
      <items count="12">
        <item h="1" x="2"/>
        <item h="1" x="9"/>
        <item h="1" x="0"/>
        <item h="1" x="8"/>
        <item h="1" x="3"/>
        <item h="1" x="5"/>
        <item h="1" x="4"/>
        <item h="1" x="7"/>
        <item h="1" x="6"/>
        <item x="1"/>
        <item h="1" x="10"/>
        <item t="default"/>
      </items>
    </pivotField>
    <pivotField axis="axisCol" showAll="0">
      <items count="12">
        <item x="8"/>
        <item x="7"/>
        <item x="1"/>
        <item x="6"/>
        <item x="4"/>
        <item x="9"/>
        <item x="5"/>
        <item x="0"/>
        <item x="2"/>
        <item x="3"/>
        <item x="10"/>
        <item t="default"/>
      </items>
    </pivotField>
    <pivotField showAll="0">
      <items count="42">
        <item x="21"/>
        <item x="24"/>
        <item x="19"/>
        <item x="3"/>
        <item x="8"/>
        <item x="26"/>
        <item x="5"/>
        <item x="27"/>
        <item x="16"/>
        <item x="1"/>
        <item x="14"/>
        <item x="35"/>
        <item x="2"/>
        <item x="31"/>
        <item x="6"/>
        <item x="28"/>
        <item x="39"/>
        <item x="38"/>
        <item x="33"/>
        <item x="12"/>
        <item x="20"/>
        <item x="34"/>
        <item x="9"/>
        <item x="32"/>
        <item x="11"/>
        <item x="4"/>
        <item x="22"/>
        <item x="7"/>
        <item x="23"/>
        <item x="10"/>
        <item x="15"/>
        <item x="17"/>
        <item x="30"/>
        <item x="37"/>
        <item x="36"/>
        <item x="25"/>
        <item x="18"/>
        <item x="0"/>
        <item x="13"/>
        <item x="29"/>
        <item x="40"/>
        <item t="default"/>
      </items>
    </pivotField>
    <pivotField dataField="1" showAll="0">
      <items count="83">
        <item x="72"/>
        <item x="39"/>
        <item x="34"/>
        <item x="71"/>
        <item x="40"/>
        <item x="60"/>
        <item x="67"/>
        <item x="62"/>
        <item x="13"/>
        <item x="10"/>
        <item x="24"/>
        <item x="33"/>
        <item x="57"/>
        <item x="50"/>
        <item x="75"/>
        <item x="48"/>
        <item x="73"/>
        <item x="53"/>
        <item x="1"/>
        <item x="58"/>
        <item x="25"/>
        <item x="63"/>
        <item x="56"/>
        <item x="52"/>
        <item x="22"/>
        <item x="12"/>
        <item x="38"/>
        <item x="30"/>
        <item x="45"/>
        <item x="54"/>
        <item x="11"/>
        <item x="15"/>
        <item x="27"/>
        <item x="9"/>
        <item x="46"/>
        <item x="4"/>
        <item x="76"/>
        <item x="20"/>
        <item x="32"/>
        <item x="36"/>
        <item x="26"/>
        <item x="21"/>
        <item x="28"/>
        <item x="14"/>
        <item x="5"/>
        <item x="59"/>
        <item x="70"/>
        <item x="8"/>
        <item x="66"/>
        <item x="47"/>
        <item x="61"/>
        <item x="16"/>
        <item x="41"/>
        <item x="19"/>
        <item x="2"/>
        <item x="55"/>
        <item x="77"/>
        <item x="69"/>
        <item x="31"/>
        <item x="49"/>
        <item x="51"/>
        <item x="29"/>
        <item x="65"/>
        <item x="68"/>
        <item x="74"/>
        <item x="17"/>
        <item x="44"/>
        <item x="42"/>
        <item x="80"/>
        <item x="35"/>
        <item x="37"/>
        <item x="78"/>
        <item x="23"/>
        <item x="3"/>
        <item x="6"/>
        <item x="43"/>
        <item x="0"/>
        <item x="18"/>
        <item x="79"/>
        <item x="64"/>
        <item x="7"/>
        <item x="81"/>
        <item t="default"/>
      </items>
    </pivotField>
    <pivotField showAll="0">
      <items count="88">
        <item x="67"/>
        <item x="71"/>
        <item x="50"/>
        <item x="35"/>
        <item x="79"/>
        <item x="72"/>
        <item x="5"/>
        <item x="51"/>
        <item x="60"/>
        <item x="4"/>
        <item x="34"/>
        <item x="19"/>
        <item x="82"/>
        <item x="64"/>
        <item x="24"/>
        <item x="80"/>
        <item x="11"/>
        <item x="16"/>
        <item x="23"/>
        <item x="44"/>
        <item x="47"/>
        <item x="62"/>
        <item x="26"/>
        <item x="21"/>
        <item x="76"/>
        <item x="3"/>
        <item x="70"/>
        <item x="27"/>
        <item x="29"/>
        <item x="42"/>
        <item x="53"/>
        <item x="84"/>
        <item x="37"/>
        <item x="56"/>
        <item x="33"/>
        <item x="39"/>
        <item x="8"/>
        <item x="48"/>
        <item x="55"/>
        <item x="52"/>
        <item x="15"/>
        <item x="73"/>
        <item x="32"/>
        <item x="43"/>
        <item x="77"/>
        <item x="58"/>
        <item x="57"/>
        <item x="6"/>
        <item x="66"/>
        <item x="14"/>
        <item x="61"/>
        <item x="46"/>
        <item x="69"/>
        <item x="31"/>
        <item x="68"/>
        <item x="40"/>
        <item x="10"/>
        <item x="13"/>
        <item x="30"/>
        <item x="65"/>
        <item x="28"/>
        <item x="78"/>
        <item x="7"/>
        <item x="20"/>
        <item x="2"/>
        <item x="75"/>
        <item x="63"/>
        <item x="36"/>
        <item x="22"/>
        <item x="83"/>
        <item x="18"/>
        <item x="25"/>
        <item x="45"/>
        <item x="17"/>
        <item x="41"/>
        <item x="74"/>
        <item x="12"/>
        <item x="81"/>
        <item x="9"/>
        <item x="85"/>
        <item x="0"/>
        <item x="38"/>
        <item x="59"/>
        <item x="54"/>
        <item x="1"/>
        <item x="49"/>
        <item x="86"/>
        <item t="default"/>
      </items>
    </pivotField>
    <pivotField showAll="0">
      <items count="89">
        <item x="73"/>
        <item x="35"/>
        <item x="49"/>
        <item x="74"/>
        <item x="80"/>
        <item x="4"/>
        <item x="50"/>
        <item x="5"/>
        <item x="19"/>
        <item x="83"/>
        <item x="62"/>
        <item x="34"/>
        <item x="24"/>
        <item x="67"/>
        <item x="81"/>
        <item x="11"/>
        <item x="16"/>
        <item x="23"/>
        <item x="64"/>
        <item x="46"/>
        <item x="72"/>
        <item x="26"/>
        <item x="21"/>
        <item x="71"/>
        <item x="27"/>
        <item x="3"/>
        <item x="42"/>
        <item x="29"/>
        <item x="85"/>
        <item x="37"/>
        <item x="52"/>
        <item x="75"/>
        <item x="58"/>
        <item x="39"/>
        <item x="33"/>
        <item x="8"/>
        <item x="55"/>
        <item x="15"/>
        <item x="51"/>
        <item x="76"/>
        <item x="47"/>
        <item x="32"/>
        <item x="43"/>
        <item x="60"/>
        <item x="59"/>
        <item x="6"/>
        <item x="69"/>
        <item x="14"/>
        <item x="45"/>
        <item x="63"/>
        <item x="70"/>
        <item x="31"/>
        <item x="10"/>
        <item x="54"/>
        <item x="30"/>
        <item x="13"/>
        <item x="28"/>
        <item x="79"/>
        <item x="68"/>
        <item x="20"/>
        <item x="7"/>
        <item x="2"/>
        <item x="36"/>
        <item x="78"/>
        <item x="22"/>
        <item x="65"/>
        <item x="18"/>
        <item x="57"/>
        <item x="84"/>
        <item x="25"/>
        <item x="77"/>
        <item x="17"/>
        <item x="12"/>
        <item x="44"/>
        <item x="41"/>
        <item x="9"/>
        <item x="82"/>
        <item x="0"/>
        <item x="86"/>
        <item x="66"/>
        <item x="38"/>
        <item x="61"/>
        <item x="53"/>
        <item x="1"/>
        <item x="40"/>
        <item x="48"/>
        <item x="56"/>
        <item x="87"/>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0"/>
  </rowFields>
  <rowItems count="6">
    <i>
      <x/>
    </i>
    <i>
      <x v="2"/>
    </i>
    <i>
      <x v="3"/>
    </i>
    <i>
      <x v="4"/>
    </i>
    <i>
      <x v="5"/>
    </i>
    <i>
      <x v="8"/>
    </i>
  </rowItems>
  <colFields count="1">
    <field x="2"/>
  </colFields>
  <colItems count="6">
    <i>
      <x/>
    </i>
    <i>
      <x v="2"/>
    </i>
    <i>
      <x v="3"/>
    </i>
    <i>
      <x v="6"/>
    </i>
    <i>
      <x v="7"/>
    </i>
    <i>
      <x v="8"/>
    </i>
  </colItems>
  <dataFields count="1">
    <dataField name="Sum of Patients Count" fld="4" baseField="0" baseItem="0"/>
  </dataFields>
  <chartFormats count="11">
    <chartFormat chart="4" format="20" series="1">
      <pivotArea type="data" outline="0" fieldPosition="0">
        <references count="2">
          <reference field="4294967294" count="1" selected="0">
            <x v="0"/>
          </reference>
          <reference field="2" count="1" selected="0">
            <x v="0"/>
          </reference>
        </references>
      </pivotArea>
    </chartFormat>
    <chartFormat chart="4" format="21" series="1">
      <pivotArea type="data" outline="0" fieldPosition="0">
        <references count="2">
          <reference field="4294967294" count="1" selected="0">
            <x v="0"/>
          </reference>
          <reference field="2" count="1" selected="0">
            <x v="1"/>
          </reference>
        </references>
      </pivotArea>
    </chartFormat>
    <chartFormat chart="4" format="22" series="1">
      <pivotArea type="data" outline="0" fieldPosition="0">
        <references count="2">
          <reference field="4294967294" count="1" selected="0">
            <x v="0"/>
          </reference>
          <reference field="2" count="1" selected="0">
            <x v="2"/>
          </reference>
        </references>
      </pivotArea>
    </chartFormat>
    <chartFormat chart="4" format="23" series="1">
      <pivotArea type="data" outline="0" fieldPosition="0">
        <references count="2">
          <reference field="4294967294" count="1" selected="0">
            <x v="0"/>
          </reference>
          <reference field="2" count="1" selected="0">
            <x v="3"/>
          </reference>
        </references>
      </pivotArea>
    </chartFormat>
    <chartFormat chart="4" format="24" series="1">
      <pivotArea type="data" outline="0" fieldPosition="0">
        <references count="2">
          <reference field="4294967294" count="1" selected="0">
            <x v="0"/>
          </reference>
          <reference field="2" count="1" selected="0">
            <x v="4"/>
          </reference>
        </references>
      </pivotArea>
    </chartFormat>
    <chartFormat chart="4" format="25" series="1">
      <pivotArea type="data" outline="0" fieldPosition="0">
        <references count="2">
          <reference field="4294967294" count="1" selected="0">
            <x v="0"/>
          </reference>
          <reference field="2" count="1" selected="0">
            <x v="5"/>
          </reference>
        </references>
      </pivotArea>
    </chartFormat>
    <chartFormat chart="4" format="26" series="1">
      <pivotArea type="data" outline="0" fieldPosition="0">
        <references count="2">
          <reference field="4294967294" count="1" selected="0">
            <x v="0"/>
          </reference>
          <reference field="2" count="1" selected="0">
            <x v="6"/>
          </reference>
        </references>
      </pivotArea>
    </chartFormat>
    <chartFormat chart="4" format="27" series="1">
      <pivotArea type="data" outline="0" fieldPosition="0">
        <references count="2">
          <reference field="4294967294" count="1" selected="0">
            <x v="0"/>
          </reference>
          <reference field="2" count="1" selected="0">
            <x v="7"/>
          </reference>
        </references>
      </pivotArea>
    </chartFormat>
    <chartFormat chart="4" format="28" series="1">
      <pivotArea type="data" outline="0" fieldPosition="0">
        <references count="2">
          <reference field="4294967294" count="1" selected="0">
            <x v="0"/>
          </reference>
          <reference field="2" count="1" selected="0">
            <x v="8"/>
          </reference>
        </references>
      </pivotArea>
    </chartFormat>
    <chartFormat chart="4" format="29" series="1">
      <pivotArea type="data" outline="0" fieldPosition="0">
        <references count="2">
          <reference field="4294967294" count="1" selected="0">
            <x v="0"/>
          </reference>
          <reference field="2" count="1" selected="0">
            <x v="9"/>
          </reference>
        </references>
      </pivotArea>
    </chartFormat>
    <chartFormat chart="4" format="3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A308725-CCC2-4F37-95AC-D06EFD95F1B3}"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
  <location ref="A16:B17" firstHeaderRow="1" firstDataRow="1" firstDataCol="1"/>
  <pivotFields count="13">
    <pivotField showAll="0"/>
    <pivotField axis="axisRow" showAll="0">
      <items count="12">
        <item h="1" x="2"/>
        <item h="1" x="9"/>
        <item h="1" x="0"/>
        <item h="1" x="8"/>
        <item h="1" x="3"/>
        <item h="1" x="5"/>
        <item h="1" x="4"/>
        <item h="1" x="7"/>
        <item h="1" x="6"/>
        <item x="1"/>
        <item h="1" x="10"/>
        <item t="default"/>
      </items>
    </pivotField>
    <pivotField showAll="0">
      <items count="12">
        <item x="8"/>
        <item x="7"/>
        <item x="1"/>
        <item x="6"/>
        <item x="4"/>
        <item x="9"/>
        <item x="5"/>
        <item x="0"/>
        <item x="2"/>
        <item x="3"/>
        <item x="10"/>
        <item t="default"/>
      </items>
    </pivotField>
    <pivotField showAll="0"/>
    <pivotField dataField="1" showAll="0"/>
    <pivotField showAll="0">
      <items count="88">
        <item x="67"/>
        <item x="71"/>
        <item x="50"/>
        <item x="35"/>
        <item x="79"/>
        <item x="72"/>
        <item x="5"/>
        <item x="51"/>
        <item x="60"/>
        <item x="4"/>
        <item x="34"/>
        <item x="19"/>
        <item x="82"/>
        <item x="64"/>
        <item x="24"/>
        <item x="80"/>
        <item x="11"/>
        <item x="16"/>
        <item x="23"/>
        <item x="44"/>
        <item x="47"/>
        <item x="62"/>
        <item x="26"/>
        <item x="21"/>
        <item x="76"/>
        <item x="3"/>
        <item x="70"/>
        <item x="27"/>
        <item x="29"/>
        <item x="42"/>
        <item x="53"/>
        <item x="84"/>
        <item x="37"/>
        <item x="56"/>
        <item x="33"/>
        <item x="39"/>
        <item x="8"/>
        <item x="48"/>
        <item x="55"/>
        <item x="52"/>
        <item x="15"/>
        <item x="73"/>
        <item x="32"/>
        <item x="43"/>
        <item x="77"/>
        <item x="58"/>
        <item x="57"/>
        <item x="6"/>
        <item x="66"/>
        <item x="14"/>
        <item x="61"/>
        <item x="46"/>
        <item x="69"/>
        <item x="31"/>
        <item x="68"/>
        <item x="40"/>
        <item x="10"/>
        <item x="13"/>
        <item x="30"/>
        <item x="65"/>
        <item x="28"/>
        <item x="78"/>
        <item x="7"/>
        <item x="20"/>
        <item x="2"/>
        <item x="75"/>
        <item x="63"/>
        <item x="36"/>
        <item x="22"/>
        <item x="83"/>
        <item x="18"/>
        <item x="25"/>
        <item x="45"/>
        <item x="17"/>
        <item x="41"/>
        <item x="74"/>
        <item x="12"/>
        <item x="81"/>
        <item x="9"/>
        <item x="85"/>
        <item x="0"/>
        <item x="38"/>
        <item x="59"/>
        <item x="54"/>
        <item x="1"/>
        <item x="49"/>
        <item x="86"/>
        <item t="default"/>
      </items>
    </pivotField>
    <pivotField showAll="0">
      <items count="89">
        <item x="73"/>
        <item x="35"/>
        <item x="49"/>
        <item x="74"/>
        <item x="80"/>
        <item x="4"/>
        <item x="50"/>
        <item x="5"/>
        <item x="19"/>
        <item x="83"/>
        <item x="62"/>
        <item x="34"/>
        <item x="24"/>
        <item x="67"/>
        <item x="81"/>
        <item x="11"/>
        <item x="16"/>
        <item x="23"/>
        <item x="64"/>
        <item x="46"/>
        <item x="72"/>
        <item x="26"/>
        <item x="21"/>
        <item x="71"/>
        <item x="27"/>
        <item x="3"/>
        <item x="42"/>
        <item x="29"/>
        <item x="85"/>
        <item x="37"/>
        <item x="52"/>
        <item x="75"/>
        <item x="58"/>
        <item x="39"/>
        <item x="33"/>
        <item x="8"/>
        <item x="55"/>
        <item x="15"/>
        <item x="51"/>
        <item x="76"/>
        <item x="47"/>
        <item x="32"/>
        <item x="43"/>
        <item x="60"/>
        <item x="59"/>
        <item x="6"/>
        <item x="69"/>
        <item x="14"/>
        <item x="45"/>
        <item x="63"/>
        <item x="70"/>
        <item x="31"/>
        <item x="10"/>
        <item x="54"/>
        <item x="30"/>
        <item x="13"/>
        <item x="28"/>
        <item x="79"/>
        <item x="68"/>
        <item x="20"/>
        <item x="7"/>
        <item x="2"/>
        <item x="36"/>
        <item x="78"/>
        <item x="22"/>
        <item x="65"/>
        <item x="18"/>
        <item x="57"/>
        <item x="84"/>
        <item x="25"/>
        <item x="77"/>
        <item x="17"/>
        <item x="12"/>
        <item x="44"/>
        <item x="41"/>
        <item x="9"/>
        <item x="82"/>
        <item x="0"/>
        <item x="86"/>
        <item x="66"/>
        <item x="38"/>
        <item x="61"/>
        <item x="53"/>
        <item x="1"/>
        <item x="40"/>
        <item x="48"/>
        <item x="56"/>
        <item x="87"/>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5">
        <item x="0"/>
        <item x="1"/>
        <item x="2"/>
        <item x="3"/>
        <item t="default"/>
      </items>
    </pivotField>
  </pivotFields>
  <rowFields count="1">
    <field x="1"/>
  </rowFields>
  <rowItems count="1">
    <i>
      <x v="9"/>
    </i>
  </rowItems>
  <colItems count="1">
    <i/>
  </colItems>
  <dataFields count="1">
    <dataField name="Sum of Patients Count" fld="4" baseField="0" baseItem="0"/>
  </dataFields>
  <chartFormats count="12">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1" count="1" selected="0">
            <x v="0"/>
          </reference>
        </references>
      </pivotArea>
    </chartFormat>
    <chartFormat chart="1" format="3">
      <pivotArea type="data" outline="0" fieldPosition="0">
        <references count="2">
          <reference field="4294967294" count="1" selected="0">
            <x v="0"/>
          </reference>
          <reference field="1" count="1" selected="0">
            <x v="1"/>
          </reference>
        </references>
      </pivotArea>
    </chartFormat>
    <chartFormat chart="1" format="4">
      <pivotArea type="data" outline="0" fieldPosition="0">
        <references count="2">
          <reference field="4294967294" count="1" selected="0">
            <x v="0"/>
          </reference>
          <reference field="1" count="1" selected="0">
            <x v="2"/>
          </reference>
        </references>
      </pivotArea>
    </chartFormat>
    <chartFormat chart="1" format="5">
      <pivotArea type="data" outline="0" fieldPosition="0">
        <references count="2">
          <reference field="4294967294" count="1" selected="0">
            <x v="0"/>
          </reference>
          <reference field="1" count="1" selected="0">
            <x v="3"/>
          </reference>
        </references>
      </pivotArea>
    </chartFormat>
    <chartFormat chart="1" format="6">
      <pivotArea type="data" outline="0" fieldPosition="0">
        <references count="2">
          <reference field="4294967294" count="1" selected="0">
            <x v="0"/>
          </reference>
          <reference field="1" count="1" selected="0">
            <x v="4"/>
          </reference>
        </references>
      </pivotArea>
    </chartFormat>
    <chartFormat chart="1" format="7">
      <pivotArea type="data" outline="0" fieldPosition="0">
        <references count="2">
          <reference field="4294967294" count="1" selected="0">
            <x v="0"/>
          </reference>
          <reference field="1" count="1" selected="0">
            <x v="5"/>
          </reference>
        </references>
      </pivotArea>
    </chartFormat>
    <chartFormat chart="1" format="8">
      <pivotArea type="data" outline="0" fieldPosition="0">
        <references count="2">
          <reference field="4294967294" count="1" selected="0">
            <x v="0"/>
          </reference>
          <reference field="1" count="1" selected="0">
            <x v="6"/>
          </reference>
        </references>
      </pivotArea>
    </chartFormat>
    <chartFormat chart="1" format="9">
      <pivotArea type="data" outline="0" fieldPosition="0">
        <references count="2">
          <reference field="4294967294" count="1" selected="0">
            <x v="0"/>
          </reference>
          <reference field="1" count="1" selected="0">
            <x v="7"/>
          </reference>
        </references>
      </pivotArea>
    </chartFormat>
    <chartFormat chart="1" format="10">
      <pivotArea type="data" outline="0" fieldPosition="0">
        <references count="2">
          <reference field="4294967294" count="1" selected="0">
            <x v="0"/>
          </reference>
          <reference field="1" count="1" selected="0">
            <x v="8"/>
          </reference>
        </references>
      </pivotArea>
    </chartFormat>
    <chartFormat chart="1" format="11">
      <pivotArea type="data" outline="0" fieldPosition="0">
        <references count="2">
          <reference field="4294967294" count="1" selected="0">
            <x v="0"/>
          </reference>
          <reference field="1" count="1" selected="0">
            <x v="9"/>
          </reference>
        </references>
      </pivotArea>
    </chartFormat>
    <chartFormat chart="1" format="12">
      <pivotArea type="data" outline="0" fieldPosition="0">
        <references count="2">
          <reference field="4294967294" count="1" selected="0">
            <x v="0"/>
          </reference>
          <reference field="1"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C7749CB2-6EF5-4C3A-A3D4-4E8467964771}" sourceName="Department">
  <pivotTables>
    <pivotTable tabId="2" name="PivotTable5"/>
    <pivotTable tabId="2" name="PivotTable1"/>
    <pivotTable tabId="2" name="PivotTable11"/>
    <pivotTable tabId="2" name="PivotTable12"/>
    <pivotTable tabId="2" name="PivotTable2"/>
  </pivotTables>
  <data>
    <tabular pivotCacheId="110328748">
      <items count="11">
        <i x="8" s="1"/>
        <i x="1" s="1"/>
        <i x="6" s="1"/>
        <i x="5" s="1"/>
        <i x="0" s="1"/>
        <i x="2" s="1"/>
        <i x="7" s="1" nd="1"/>
        <i x="4" s="1" nd="1"/>
        <i x="9" s="1" nd="1"/>
        <i x="3" s="1" nd="1"/>
        <i x="1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1" xr10:uid="{A709A187-0859-4B78-AC82-B87157A4D723}" sourceName="Location">
  <pivotTables>
    <pivotTable tabId="2" name="PivotTable5"/>
    <pivotTable tabId="2" name="PivotTable1"/>
    <pivotTable tabId="2" name="PivotTable11"/>
    <pivotTable tabId="2" name="PivotTable12"/>
    <pivotTable tabId="2" name="PivotTable2"/>
  </pivotTables>
  <data>
    <tabular pivotCacheId="110328748">
      <items count="11">
        <i x="2"/>
        <i x="9"/>
        <i x="0"/>
        <i x="8"/>
        <i x="3"/>
        <i x="5"/>
        <i x="4"/>
        <i x="7"/>
        <i x="6"/>
        <i x="1" s="1"/>
        <i x="1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1" xr10:uid="{16325A2B-1CB9-4A88-B086-10DF730665CB}" cache="Slicer_Department1" caption="Department" columnCount="11" rowHeight="241300"/>
  <slicer name="Location 1" xr10:uid="{59ACA4A7-43F6-4D51-957F-E77E81FBE722}" cache="Slicer_Location1" caption="Location" columnCount="1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95DD2B5-A1C1-436E-8804-8F465B780BE8}" name="Table1" displayName="Table1" ref="A1:H1048576" totalsRowShown="0" headerRowDxfId="2">
  <autoFilter ref="A1:H1048576" xr:uid="{795DD2B5-A1C1-436E-8804-8F465B780BE8}"/>
  <tableColumns count="8">
    <tableColumn id="1" xr3:uid="{D8AAFC36-0996-4EBD-9B31-46DB77A1F839}" name="Column1"/>
    <tableColumn id="2" xr3:uid="{B7394BD4-1954-4AAC-821A-88D3269DEA12}" name="Column2"/>
    <tableColumn id="3" xr3:uid="{D54001B3-349F-42C8-89EA-8DE7D46C5F83}" name="Column3"/>
    <tableColumn id="4" xr3:uid="{6C9BE606-CB82-4891-A04A-A44A226093D1}" name="Column4"/>
    <tableColumn id="5" xr3:uid="{03939E5A-0297-4D1F-8597-445120CE8EEB}" name="Column5"/>
    <tableColumn id="6" xr3:uid="{8FAC8D92-92D7-43E4-88B7-75B89FE46B64}" name="Column6" dataDxfId="1"/>
    <tableColumn id="7" xr3:uid="{4431CC6C-8BCE-4FA5-807B-0A4EBFAF10A5}" name="Column7" dataDxfId="0"/>
    <tableColumn id="8" xr3:uid="{4A458DCC-77B4-49E8-ABB2-431267FBF82C}" name="Column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36140-D877-42E5-AC35-1590532BCAAF}">
  <sheetPr codeName="Sheet1"/>
  <dimension ref="A3:AD23"/>
  <sheetViews>
    <sheetView workbookViewId="0">
      <selection activeCell="W14" sqref="W14"/>
    </sheetView>
  </sheetViews>
  <sheetFormatPr defaultRowHeight="14.5" x14ac:dyDescent="0.35"/>
  <cols>
    <col min="1" max="1" width="12.36328125" bestFit="1" customWidth="1"/>
    <col min="2" max="2" width="19.7265625" bestFit="1" customWidth="1"/>
    <col min="3" max="3" width="5.1796875" customWidth="1"/>
    <col min="4" max="4" width="16.26953125" bestFit="1" customWidth="1"/>
    <col min="5" max="5" width="12.453125" bestFit="1" customWidth="1"/>
    <col min="6" max="6" width="4.26953125" bestFit="1" customWidth="1"/>
    <col min="7" max="7" width="3.81640625" bestFit="1" customWidth="1"/>
    <col min="8" max="8" width="3" bestFit="1" customWidth="1"/>
    <col min="9" max="9" width="3.81640625" bestFit="1" customWidth="1"/>
    <col min="10" max="10" width="3.7265625" bestFit="1" customWidth="1"/>
    <col min="11" max="11" width="4.08984375" bestFit="1" customWidth="1"/>
    <col min="12" max="12" width="3.90625" bestFit="1" customWidth="1"/>
    <col min="13" max="14" width="3.81640625" bestFit="1" customWidth="1"/>
    <col min="15" max="15" width="4.81640625" bestFit="1" customWidth="1"/>
    <col min="16" max="16" width="3.90625" bestFit="1" customWidth="1"/>
    <col min="17" max="17" width="3.90625" customWidth="1"/>
    <col min="18" max="18" width="4" bestFit="1" customWidth="1"/>
    <col min="19" max="19" width="3.81640625" bestFit="1" customWidth="1"/>
    <col min="20" max="20" width="3.81640625" customWidth="1"/>
    <col min="21" max="21" width="3.81640625" bestFit="1" customWidth="1"/>
    <col min="22" max="22" width="4.81640625" bestFit="1" customWidth="1"/>
    <col min="23" max="23" width="3.90625" bestFit="1" customWidth="1"/>
    <col min="24" max="24" width="19.7265625" bestFit="1" customWidth="1"/>
    <col min="25" max="25" width="15.26953125" bestFit="1" customWidth="1"/>
    <col min="26" max="26" width="4.08984375" bestFit="1" customWidth="1"/>
    <col min="27" max="27" width="15.54296875" bestFit="1" customWidth="1"/>
    <col min="28" max="28" width="8.54296875" bestFit="1" customWidth="1"/>
    <col min="29" max="29" width="11.08984375" bestFit="1" customWidth="1"/>
    <col min="30" max="30" width="9" bestFit="1" customWidth="1"/>
    <col min="31" max="31" width="11.08984375" bestFit="1" customWidth="1"/>
    <col min="32" max="32" width="9" bestFit="1" customWidth="1"/>
    <col min="33" max="34" width="7.26953125" bestFit="1" customWidth="1"/>
    <col min="35" max="35" width="6.7265625" bestFit="1" customWidth="1"/>
    <col min="36" max="41" width="2.81640625" bestFit="1" customWidth="1"/>
    <col min="42" max="43" width="3.81640625" bestFit="1" customWidth="1"/>
    <col min="44" max="49" width="2.81640625" bestFit="1" customWidth="1"/>
    <col min="50" max="50" width="3.81640625" bestFit="1" customWidth="1"/>
    <col min="51" max="51" width="2.81640625" bestFit="1" customWidth="1"/>
    <col min="52" max="52" width="3.81640625" bestFit="1" customWidth="1"/>
    <col min="53" max="55" width="2.81640625" bestFit="1" customWidth="1"/>
    <col min="56" max="60" width="3.81640625" bestFit="1" customWidth="1"/>
    <col min="61" max="62" width="2.81640625" bestFit="1" customWidth="1"/>
    <col min="63" max="68" width="3.81640625" bestFit="1" customWidth="1"/>
    <col min="69" max="69" width="2.81640625" bestFit="1" customWidth="1"/>
    <col min="70" max="105" width="3.81640625" bestFit="1" customWidth="1"/>
    <col min="106" max="106" width="6.7265625" bestFit="1" customWidth="1"/>
    <col min="107" max="107" width="13.1796875" bestFit="1" customWidth="1"/>
    <col min="108" max="108" width="9.6328125" bestFit="1" customWidth="1"/>
    <col min="109" max="109" width="12.08984375" bestFit="1" customWidth="1"/>
    <col min="110" max="110" width="10.6328125" bestFit="1" customWidth="1"/>
    <col min="111" max="111" width="13.1796875" bestFit="1" customWidth="1"/>
    <col min="112" max="112" width="10.6328125" bestFit="1" customWidth="1"/>
    <col min="113" max="113" width="13.1796875" bestFit="1" customWidth="1"/>
    <col min="114" max="114" width="10.6328125" bestFit="1" customWidth="1"/>
    <col min="115" max="115" width="13.1796875" bestFit="1" customWidth="1"/>
    <col min="116" max="116" width="9.6328125" bestFit="1" customWidth="1"/>
    <col min="117" max="117" width="12.08984375" bestFit="1" customWidth="1"/>
    <col min="118" max="118" width="10.6328125" bestFit="1" customWidth="1"/>
    <col min="119" max="119" width="13.1796875" bestFit="1" customWidth="1"/>
    <col min="120" max="120" width="10.6328125" bestFit="1" customWidth="1"/>
    <col min="121" max="121" width="13.1796875" bestFit="1" customWidth="1"/>
    <col min="122" max="122" width="10.6328125" bestFit="1" customWidth="1"/>
    <col min="123" max="123" width="13.1796875" bestFit="1" customWidth="1"/>
    <col min="124" max="124" width="10.6328125" bestFit="1" customWidth="1"/>
    <col min="125" max="125" width="13.1796875" bestFit="1" customWidth="1"/>
    <col min="126" max="126" width="10.6328125" bestFit="1" customWidth="1"/>
    <col min="127" max="127" width="13.1796875" bestFit="1" customWidth="1"/>
    <col min="128" max="128" width="10.6328125" bestFit="1" customWidth="1"/>
    <col min="129" max="129" width="13.1796875" bestFit="1" customWidth="1"/>
    <col min="130" max="130" width="10.6328125" bestFit="1" customWidth="1"/>
    <col min="131" max="131" width="13.1796875" bestFit="1" customWidth="1"/>
    <col min="132" max="132" width="10.6328125" bestFit="1" customWidth="1"/>
    <col min="133" max="133" width="13.1796875" bestFit="1" customWidth="1"/>
    <col min="134" max="134" width="10.6328125" bestFit="1" customWidth="1"/>
    <col min="135" max="135" width="13.1796875" bestFit="1" customWidth="1"/>
    <col min="136" max="136" width="10.6328125" bestFit="1" customWidth="1"/>
    <col min="137" max="137" width="13.1796875" bestFit="1" customWidth="1"/>
    <col min="138" max="138" width="10.6328125" bestFit="1" customWidth="1"/>
    <col min="139" max="139" width="13.1796875" bestFit="1" customWidth="1"/>
    <col min="140" max="140" width="10.6328125" bestFit="1" customWidth="1"/>
    <col min="141" max="141" width="13.1796875" bestFit="1" customWidth="1"/>
    <col min="142" max="142" width="10.6328125" bestFit="1" customWidth="1"/>
    <col min="143" max="143" width="13.1796875" bestFit="1" customWidth="1"/>
    <col min="144" max="144" width="10.6328125" bestFit="1" customWidth="1"/>
    <col min="145" max="145" width="13.1796875" bestFit="1" customWidth="1"/>
    <col min="146" max="146" width="10.6328125" bestFit="1" customWidth="1"/>
    <col min="147" max="147" width="13.1796875" bestFit="1" customWidth="1"/>
    <col min="148" max="148" width="10.6328125" bestFit="1" customWidth="1"/>
    <col min="149" max="149" width="13.1796875" bestFit="1" customWidth="1"/>
    <col min="150" max="150" width="10.6328125" bestFit="1" customWidth="1"/>
    <col min="151" max="151" width="13.1796875" bestFit="1" customWidth="1"/>
    <col min="152" max="152" width="10.6328125" bestFit="1" customWidth="1"/>
    <col min="153" max="153" width="13.1796875" bestFit="1" customWidth="1"/>
    <col min="154" max="154" width="10.6328125" bestFit="1" customWidth="1"/>
    <col min="155" max="155" width="13.1796875" bestFit="1" customWidth="1"/>
    <col min="156" max="156" width="10.6328125" bestFit="1" customWidth="1"/>
    <col min="157" max="157" width="13.1796875" bestFit="1" customWidth="1"/>
    <col min="158" max="158" width="10.6328125" bestFit="1" customWidth="1"/>
    <col min="159" max="159" width="13.1796875" bestFit="1" customWidth="1"/>
    <col min="160" max="160" width="10.6328125" bestFit="1" customWidth="1"/>
    <col min="161" max="161" width="13.1796875" bestFit="1" customWidth="1"/>
    <col min="162" max="162" width="10.6328125" bestFit="1" customWidth="1"/>
    <col min="163" max="163" width="13.1796875" bestFit="1" customWidth="1"/>
    <col min="164" max="164" width="10.6328125" bestFit="1" customWidth="1"/>
    <col min="165" max="165" width="13.1796875" bestFit="1" customWidth="1"/>
    <col min="166" max="166" width="10.6328125" bestFit="1" customWidth="1"/>
    <col min="167" max="167" width="13.1796875" bestFit="1" customWidth="1"/>
    <col min="168" max="168" width="9.6328125" bestFit="1" customWidth="1"/>
    <col min="169" max="169" width="12.08984375" bestFit="1" customWidth="1"/>
    <col min="170" max="170" width="9.6328125" bestFit="1" customWidth="1"/>
    <col min="171" max="171" width="12.08984375" bestFit="1" customWidth="1"/>
    <col min="172" max="172" width="10.6328125" bestFit="1" customWidth="1"/>
    <col min="173" max="173" width="13.1796875" bestFit="1" customWidth="1"/>
    <col min="174" max="174" width="10.6328125" bestFit="1" customWidth="1"/>
    <col min="175" max="175" width="13.1796875" bestFit="1" customWidth="1"/>
    <col min="176" max="176" width="10.6328125" bestFit="1" customWidth="1"/>
    <col min="177" max="177" width="13.1796875" bestFit="1" customWidth="1"/>
    <col min="178" max="178" width="9.6328125" bestFit="1" customWidth="1"/>
    <col min="179" max="179" width="12.08984375" bestFit="1" customWidth="1"/>
    <col min="180" max="180" width="10.6328125" bestFit="1" customWidth="1"/>
    <col min="181" max="181" width="13.1796875" bestFit="1" customWidth="1"/>
    <col min="182" max="182" width="10.6328125" bestFit="1" customWidth="1"/>
    <col min="183" max="183" width="13.1796875" bestFit="1" customWidth="1"/>
    <col min="184" max="184" width="10.6328125" bestFit="1" customWidth="1"/>
    <col min="185" max="185" width="13.1796875" bestFit="1" customWidth="1"/>
    <col min="186" max="186" width="10.6328125" bestFit="1" customWidth="1"/>
    <col min="187" max="187" width="13.1796875" bestFit="1" customWidth="1"/>
    <col min="188" max="188" width="10.6328125" bestFit="1" customWidth="1"/>
    <col min="189" max="189" width="13.1796875" bestFit="1" customWidth="1"/>
    <col min="190" max="190" width="10.6328125" bestFit="1" customWidth="1"/>
    <col min="191" max="191" width="13.1796875" bestFit="1" customWidth="1"/>
    <col min="192" max="192" width="10.6328125" bestFit="1" customWidth="1"/>
    <col min="193" max="193" width="13.1796875" bestFit="1" customWidth="1"/>
    <col min="194" max="194" width="10.6328125" bestFit="1" customWidth="1"/>
    <col min="195" max="195" width="13.1796875" bestFit="1" customWidth="1"/>
    <col min="196" max="196" width="10.6328125" bestFit="1" customWidth="1"/>
    <col min="197" max="197" width="13.1796875" bestFit="1" customWidth="1"/>
    <col min="198" max="198" width="10.6328125" bestFit="1" customWidth="1"/>
    <col min="199" max="199" width="13.1796875" bestFit="1" customWidth="1"/>
    <col min="200" max="200" width="10.6328125" bestFit="1" customWidth="1"/>
    <col min="201" max="201" width="13.1796875" bestFit="1" customWidth="1"/>
    <col min="202" max="202" width="10.6328125" bestFit="1" customWidth="1"/>
    <col min="203" max="203" width="13.1796875" bestFit="1" customWidth="1"/>
    <col min="204" max="204" width="10.6328125" bestFit="1" customWidth="1"/>
    <col min="205" max="205" width="13.1796875" bestFit="1" customWidth="1"/>
    <col min="206" max="206" width="10.6328125" bestFit="1" customWidth="1"/>
    <col min="207" max="207" width="13.1796875" bestFit="1" customWidth="1"/>
    <col min="208" max="208" width="9.6328125" bestFit="1" customWidth="1"/>
    <col min="209" max="209" width="12.08984375" bestFit="1" customWidth="1"/>
    <col min="210" max="210" width="10.6328125" bestFit="1" customWidth="1"/>
    <col min="211" max="211" width="13.1796875" bestFit="1" customWidth="1"/>
    <col min="212" max="212" width="10.6328125" bestFit="1" customWidth="1"/>
    <col min="213" max="213" width="13.1796875" bestFit="1" customWidth="1"/>
    <col min="214" max="214" width="7.6328125" bestFit="1" customWidth="1"/>
    <col min="215" max="215" width="10.54296875" bestFit="1" customWidth="1"/>
    <col min="216" max="216" width="10.6328125" bestFit="1" customWidth="1"/>
    <col min="217" max="217" width="13.1796875" bestFit="1" customWidth="1"/>
    <col min="218" max="218" width="10.6328125" bestFit="1" customWidth="1"/>
    <col min="219" max="219" width="13.1796875" bestFit="1" customWidth="1"/>
    <col min="220" max="220" width="10.6328125" bestFit="1" customWidth="1"/>
    <col min="221" max="221" width="13.1796875" bestFit="1" customWidth="1"/>
    <col min="222" max="222" width="10.6328125" bestFit="1" customWidth="1"/>
    <col min="223" max="223" width="13.1796875" bestFit="1" customWidth="1"/>
    <col min="224" max="224" width="8.54296875" bestFit="1" customWidth="1"/>
    <col min="225" max="225" width="11.453125" bestFit="1" customWidth="1"/>
  </cols>
  <sheetData>
    <row r="3" spans="1:30" x14ac:dyDescent="0.35">
      <c r="A3" s="4" t="s">
        <v>49</v>
      </c>
      <c r="B3" t="s">
        <v>50</v>
      </c>
      <c r="D3" s="4" t="s">
        <v>5</v>
      </c>
      <c r="E3" t="s">
        <v>50</v>
      </c>
    </row>
    <row r="4" spans="1:30" x14ac:dyDescent="0.35">
      <c r="A4" s="5" t="s">
        <v>32</v>
      </c>
      <c r="B4" s="8">
        <v>55</v>
      </c>
      <c r="D4" s="5" t="s">
        <v>42</v>
      </c>
      <c r="E4" s="8">
        <v>88</v>
      </c>
    </row>
    <row r="5" spans="1:30" x14ac:dyDescent="0.35">
      <c r="A5" s="5" t="s">
        <v>13</v>
      </c>
      <c r="B5" s="8">
        <v>110</v>
      </c>
      <c r="D5" s="5" t="s">
        <v>44</v>
      </c>
      <c r="E5" s="8">
        <v>48</v>
      </c>
    </row>
    <row r="6" spans="1:30" x14ac:dyDescent="0.35">
      <c r="A6" s="5" t="s">
        <v>26</v>
      </c>
      <c r="B6" s="8">
        <v>25</v>
      </c>
      <c r="D6" s="5" t="s">
        <v>45</v>
      </c>
      <c r="E6" s="8">
        <v>55</v>
      </c>
    </row>
    <row r="7" spans="1:30" x14ac:dyDescent="0.35">
      <c r="A7" s="5" t="s">
        <v>22</v>
      </c>
      <c r="B7" s="8">
        <v>47</v>
      </c>
      <c r="D7" s="5" t="s">
        <v>46</v>
      </c>
      <c r="E7" s="8">
        <v>25</v>
      </c>
    </row>
    <row r="8" spans="1:30" x14ac:dyDescent="0.35">
      <c r="A8" s="5" t="s">
        <v>10</v>
      </c>
      <c r="B8" s="8">
        <v>170</v>
      </c>
      <c r="D8" s="5" t="s">
        <v>47</v>
      </c>
      <c r="E8" s="8">
        <v>181</v>
      </c>
    </row>
    <row r="9" spans="1:30" x14ac:dyDescent="0.35">
      <c r="A9" s="5" t="s">
        <v>15</v>
      </c>
      <c r="B9" s="8">
        <v>148</v>
      </c>
      <c r="D9" s="5" t="s">
        <v>48</v>
      </c>
      <c r="E9" s="8">
        <v>158</v>
      </c>
    </row>
    <row r="15" spans="1:30" x14ac:dyDescent="0.35">
      <c r="X15" s="4" t="s">
        <v>39</v>
      </c>
      <c r="Y15" s="4" t="s">
        <v>40</v>
      </c>
    </row>
    <row r="16" spans="1:30" x14ac:dyDescent="0.35">
      <c r="A16" s="4" t="s">
        <v>38</v>
      </c>
      <c r="B16" t="s">
        <v>39</v>
      </c>
      <c r="D16" s="4" t="s">
        <v>39</v>
      </c>
      <c r="E16" s="4" t="s">
        <v>40</v>
      </c>
      <c r="X16" s="4" t="s">
        <v>38</v>
      </c>
      <c r="Y16" t="s">
        <v>32</v>
      </c>
      <c r="Z16" t="s">
        <v>13</v>
      </c>
      <c r="AA16" t="s">
        <v>26</v>
      </c>
      <c r="AB16" t="s">
        <v>22</v>
      </c>
      <c r="AC16" t="s">
        <v>10</v>
      </c>
      <c r="AD16" t="s">
        <v>15</v>
      </c>
    </row>
    <row r="17" spans="1:30" x14ac:dyDescent="0.35">
      <c r="A17" s="5" t="s">
        <v>12</v>
      </c>
      <c r="B17" s="8">
        <v>555</v>
      </c>
      <c r="D17" s="4" t="s">
        <v>38</v>
      </c>
      <c r="E17" t="s">
        <v>41</v>
      </c>
      <c r="F17" t="s">
        <v>42</v>
      </c>
      <c r="G17" t="s">
        <v>43</v>
      </c>
      <c r="H17" t="s">
        <v>44</v>
      </c>
      <c r="I17" t="s">
        <v>45</v>
      </c>
      <c r="J17" t="s">
        <v>46</v>
      </c>
      <c r="K17" t="s">
        <v>47</v>
      </c>
      <c r="L17" t="s">
        <v>48</v>
      </c>
      <c r="X17" s="5" t="s">
        <v>24</v>
      </c>
      <c r="Y17" s="8"/>
      <c r="Z17" s="8">
        <v>59</v>
      </c>
      <c r="AA17" s="8"/>
      <c r="AB17" s="8"/>
      <c r="AC17" s="8"/>
      <c r="AD17" s="8"/>
    </row>
    <row r="18" spans="1:30" x14ac:dyDescent="0.35">
      <c r="D18" s="5" t="s">
        <v>42</v>
      </c>
      <c r="E18" s="8"/>
      <c r="F18" s="8">
        <v>47</v>
      </c>
      <c r="G18" s="8">
        <v>41</v>
      </c>
      <c r="H18" s="8"/>
      <c r="I18" s="8"/>
      <c r="J18" s="8"/>
      <c r="K18" s="8"/>
      <c r="L18" s="8"/>
      <c r="X18" s="5" t="s">
        <v>11</v>
      </c>
      <c r="Y18" s="8"/>
      <c r="Z18" s="8">
        <v>51</v>
      </c>
      <c r="AA18" s="8"/>
      <c r="AB18" s="8">
        <v>47</v>
      </c>
      <c r="AC18" s="8"/>
      <c r="AD18" s="8"/>
    </row>
    <row r="19" spans="1:30" x14ac:dyDescent="0.35">
      <c r="D19" s="5" t="s">
        <v>44</v>
      </c>
      <c r="E19" s="8"/>
      <c r="F19" s="8"/>
      <c r="G19" s="8"/>
      <c r="H19" s="8">
        <v>48</v>
      </c>
      <c r="I19" s="8"/>
      <c r="J19" s="8"/>
      <c r="K19" s="8"/>
      <c r="L19" s="8"/>
      <c r="X19" s="5" t="s">
        <v>23</v>
      </c>
      <c r="Y19" s="8"/>
      <c r="Z19" s="8"/>
      <c r="AA19" s="8"/>
      <c r="AB19" s="8"/>
      <c r="AC19" s="8">
        <v>48</v>
      </c>
      <c r="AD19" s="8"/>
    </row>
    <row r="20" spans="1:30" x14ac:dyDescent="0.35">
      <c r="D20" s="5" t="s">
        <v>45</v>
      </c>
      <c r="E20" s="8"/>
      <c r="F20" s="8"/>
      <c r="G20" s="8"/>
      <c r="H20" s="8"/>
      <c r="I20" s="8">
        <v>55</v>
      </c>
      <c r="J20" s="8"/>
      <c r="K20" s="8"/>
      <c r="L20" s="8"/>
      <c r="X20" s="5" t="s">
        <v>27</v>
      </c>
      <c r="Y20" s="8"/>
      <c r="Z20" s="8"/>
      <c r="AA20" s="8"/>
      <c r="AB20" s="8"/>
      <c r="AC20" s="8"/>
      <c r="AD20" s="8">
        <v>107</v>
      </c>
    </row>
    <row r="21" spans="1:30" x14ac:dyDescent="0.35">
      <c r="D21" s="5" t="s">
        <v>46</v>
      </c>
      <c r="E21" s="8"/>
      <c r="F21" s="8"/>
      <c r="G21" s="8"/>
      <c r="H21" s="8"/>
      <c r="I21" s="8"/>
      <c r="J21" s="8">
        <v>25</v>
      </c>
      <c r="K21" s="8"/>
      <c r="L21" s="8"/>
      <c r="X21" s="5" t="s">
        <v>28</v>
      </c>
      <c r="Y21" s="8">
        <v>55</v>
      </c>
      <c r="Z21" s="8"/>
      <c r="AA21" s="8">
        <v>25</v>
      </c>
      <c r="AB21" s="8"/>
      <c r="AC21" s="8"/>
      <c r="AD21" s="8">
        <v>41</v>
      </c>
    </row>
    <row r="22" spans="1:30" x14ac:dyDescent="0.35">
      <c r="D22" s="5" t="s">
        <v>47</v>
      </c>
      <c r="E22" s="8"/>
      <c r="F22" s="8"/>
      <c r="G22" s="8"/>
      <c r="H22" s="8"/>
      <c r="I22" s="8"/>
      <c r="J22" s="8"/>
      <c r="K22" s="8">
        <v>181</v>
      </c>
      <c r="L22" s="8"/>
      <c r="X22" s="5" t="s">
        <v>33</v>
      </c>
      <c r="Y22" s="8"/>
      <c r="Z22" s="8"/>
      <c r="AA22" s="8"/>
      <c r="AB22" s="8"/>
      <c r="AC22" s="8">
        <v>122</v>
      </c>
      <c r="AD22" s="8"/>
    </row>
    <row r="23" spans="1:30" x14ac:dyDescent="0.35">
      <c r="D23" s="5" t="s">
        <v>48</v>
      </c>
      <c r="E23" s="8">
        <v>51</v>
      </c>
      <c r="F23" s="8"/>
      <c r="G23" s="8"/>
      <c r="H23" s="8"/>
      <c r="I23" s="8"/>
      <c r="J23" s="8"/>
      <c r="K23" s="8"/>
      <c r="L23" s="8">
        <v>107</v>
      </c>
    </row>
  </sheetData>
  <conditionalFormatting sqref="X5:X13 Y3">
    <cfRule type="colorScale" priority="2">
      <colorScale>
        <cfvo type="min"/>
        <cfvo type="max"/>
        <color rgb="FFFFEF9C"/>
        <color rgb="FF63BE7B"/>
      </colorScale>
    </cfRule>
    <cfRule type="colorScale" priority="3">
      <colorScale>
        <cfvo type="min"/>
        <cfvo type="max"/>
        <color rgb="FFFFEF9C"/>
        <color rgb="FF63BE7B"/>
      </colorScale>
    </cfRule>
    <cfRule type="colorScale" priority="4">
      <colorScale>
        <cfvo type="min"/>
        <cfvo type="percentile" val="50"/>
        <cfvo type="max"/>
        <color rgb="FF63BE7B"/>
        <color rgb="FFFFEB84"/>
        <color rgb="FFF8696B"/>
      </colorScale>
    </cfRule>
  </conditionalFormatting>
  <conditionalFormatting sqref="X5:X14 Y3">
    <cfRule type="colorScale" priority="1">
      <colorScale>
        <cfvo type="min"/>
        <cfvo type="max"/>
        <color rgb="FFFFEF9C"/>
        <color rgb="FF63BE7B"/>
      </colorScale>
    </cfRule>
  </conditionalFormatting>
  <conditionalFormatting sqref="X6">
    <cfRule type="colorScale" priority="5">
      <colorScale>
        <cfvo type="min"/>
        <cfvo type="percentile" val="50"/>
        <cfvo type="max"/>
        <color rgb="FF63BE7B"/>
        <color rgb="FFFFEB84"/>
        <color rgb="FFF8696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70850-A9F5-4D19-BD1F-69A5D2B5A1FD}">
  <sheetPr codeName="Sheet2"/>
  <dimension ref="A1:A2"/>
  <sheetViews>
    <sheetView showGridLines="0" tabSelected="1" zoomScale="66" zoomScaleNormal="66" workbookViewId="0">
      <selection activeCell="W10" sqref="W10"/>
    </sheetView>
  </sheetViews>
  <sheetFormatPr defaultRowHeight="14.5" x14ac:dyDescent="0.35"/>
  <cols>
    <col min="1" max="1" width="20.26953125" style="7" customWidth="1"/>
    <col min="2" max="18" width="8.7265625" style="7"/>
    <col min="19" max="19" width="8.26953125" style="7" customWidth="1"/>
    <col min="20" max="16384" width="8.7265625" style="7"/>
  </cols>
  <sheetData>
    <row r="1" spans="1:1" s="7" customFormat="1" ht="54" customHeight="1" x14ac:dyDescent="0.6">
      <c r="A1" s="6"/>
    </row>
    <row r="2" spans="1:1" s="7" customFormat="1" ht="97" customHeight="1" x14ac:dyDescent="0.3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Check Box 1">
              <controlPr defaultSize="0" autoFill="0" autoLine="0" autoPict="0" macro="[0]!RefreshAllData">
                <anchor moveWithCells="1">
                  <from>
                    <xdr:col>17</xdr:col>
                    <xdr:colOff>393700</xdr:colOff>
                    <xdr:row>0</xdr:row>
                    <xdr:rowOff>127000</xdr:rowOff>
                  </from>
                  <to>
                    <xdr:col>21</xdr:col>
                    <xdr:colOff>146050</xdr:colOff>
                    <xdr:row>1</xdr:row>
                    <xdr:rowOff>723900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19F9D-1787-47E0-AA30-B38CA537BB77}">
  <sheetPr codeName="Sheet3"/>
  <dimension ref="A1:H102"/>
  <sheetViews>
    <sheetView workbookViewId="0">
      <selection activeCell="J4" sqref="J4"/>
    </sheetView>
  </sheetViews>
  <sheetFormatPr defaultRowHeight="14.5" x14ac:dyDescent="0.35"/>
  <cols>
    <col min="1" max="1" width="18.7265625" bestFit="1" customWidth="1"/>
    <col min="2" max="2" width="11" bestFit="1" customWidth="1"/>
    <col min="3" max="3" width="15.54296875" bestFit="1" customWidth="1"/>
    <col min="4" max="4" width="12.7265625" bestFit="1" customWidth="1"/>
    <col min="5" max="5" width="13" bestFit="1" customWidth="1"/>
    <col min="6" max="6" width="13.90625" style="1" bestFit="1" customWidth="1"/>
    <col min="7" max="7" width="13.36328125" style="1" bestFit="1" customWidth="1"/>
    <col min="8" max="8" width="15.6328125" bestFit="1" customWidth="1"/>
  </cols>
  <sheetData>
    <row r="1" spans="1:8" x14ac:dyDescent="0.35">
      <c r="A1" s="2" t="s">
        <v>51</v>
      </c>
      <c r="B1" s="2" t="s">
        <v>52</v>
      </c>
      <c r="C1" s="2" t="s">
        <v>53</v>
      </c>
      <c r="D1" s="2" t="s">
        <v>54</v>
      </c>
      <c r="E1" s="2" t="s">
        <v>55</v>
      </c>
      <c r="F1" s="3" t="s">
        <v>56</v>
      </c>
      <c r="G1" s="3" t="s">
        <v>57</v>
      </c>
      <c r="H1" s="2" t="s">
        <v>58</v>
      </c>
    </row>
    <row r="2" spans="1:8" x14ac:dyDescent="0.35">
      <c r="A2" s="2" t="s">
        <v>0</v>
      </c>
      <c r="B2" s="2" t="s">
        <v>1</v>
      </c>
      <c r="C2" s="2" t="s">
        <v>2</v>
      </c>
      <c r="D2" s="2" t="s">
        <v>3</v>
      </c>
      <c r="E2" s="2" t="s">
        <v>4</v>
      </c>
      <c r="F2" s="3" t="s">
        <v>5</v>
      </c>
      <c r="G2" s="3" t="s">
        <v>6</v>
      </c>
      <c r="H2" s="2" t="s">
        <v>7</v>
      </c>
    </row>
    <row r="3" spans="1:8" x14ac:dyDescent="0.35">
      <c r="A3" t="s">
        <v>8</v>
      </c>
      <c r="B3" t="s">
        <v>9</v>
      </c>
      <c r="C3" t="s">
        <v>10</v>
      </c>
      <c r="D3">
        <v>47</v>
      </c>
      <c r="E3">
        <v>182</v>
      </c>
      <c r="F3" s="1">
        <v>45273</v>
      </c>
      <c r="G3" s="1">
        <v>45274</v>
      </c>
      <c r="H3">
        <v>31364.880000000001</v>
      </c>
    </row>
    <row r="4" spans="1:8" x14ac:dyDescent="0.35">
      <c r="A4" t="s">
        <v>11</v>
      </c>
      <c r="B4" t="s">
        <v>12</v>
      </c>
      <c r="C4" t="s">
        <v>13</v>
      </c>
      <c r="D4">
        <v>15</v>
      </c>
      <c r="E4">
        <v>51</v>
      </c>
      <c r="F4" s="1">
        <v>45289</v>
      </c>
      <c r="G4" s="1">
        <v>45300</v>
      </c>
      <c r="H4">
        <v>47280.19</v>
      </c>
    </row>
    <row r="5" spans="1:8" x14ac:dyDescent="0.35">
      <c r="A5" t="s">
        <v>8</v>
      </c>
      <c r="B5" t="s">
        <v>14</v>
      </c>
      <c r="C5" t="s">
        <v>15</v>
      </c>
      <c r="D5">
        <v>20</v>
      </c>
      <c r="E5">
        <v>120</v>
      </c>
      <c r="F5" s="1">
        <v>45206</v>
      </c>
      <c r="G5" s="1">
        <v>45220</v>
      </c>
      <c r="H5">
        <v>28574.720000000001</v>
      </c>
    </row>
    <row r="6" spans="1:8" x14ac:dyDescent="0.35">
      <c r="A6" t="s">
        <v>16</v>
      </c>
      <c r="B6" t="s">
        <v>17</v>
      </c>
      <c r="C6" t="s">
        <v>18</v>
      </c>
      <c r="D6">
        <v>8</v>
      </c>
      <c r="E6">
        <v>172</v>
      </c>
      <c r="F6" s="1">
        <v>45045</v>
      </c>
      <c r="G6" s="1">
        <v>45057</v>
      </c>
      <c r="H6">
        <v>7000.83</v>
      </c>
    </row>
    <row r="7" spans="1:8" x14ac:dyDescent="0.35">
      <c r="A7" t="s">
        <v>19</v>
      </c>
      <c r="B7" t="s">
        <v>20</v>
      </c>
      <c r="C7" t="s">
        <v>21</v>
      </c>
      <c r="D7">
        <v>35</v>
      </c>
      <c r="E7">
        <v>76</v>
      </c>
      <c r="F7" s="1">
        <v>44967</v>
      </c>
      <c r="G7" s="1">
        <v>44969</v>
      </c>
      <c r="H7">
        <v>47210.46</v>
      </c>
    </row>
    <row r="8" spans="1:8" x14ac:dyDescent="0.35">
      <c r="A8" t="s">
        <v>16</v>
      </c>
      <c r="B8" t="s">
        <v>17</v>
      </c>
      <c r="C8" t="s">
        <v>22</v>
      </c>
      <c r="D8">
        <v>11</v>
      </c>
      <c r="E8">
        <v>76</v>
      </c>
      <c r="F8" s="1">
        <v>44962</v>
      </c>
      <c r="G8" s="1">
        <v>44974</v>
      </c>
      <c r="H8">
        <v>18612.34</v>
      </c>
    </row>
    <row r="9" spans="1:8" x14ac:dyDescent="0.35">
      <c r="A9" t="s">
        <v>23</v>
      </c>
      <c r="B9" t="s">
        <v>14</v>
      </c>
      <c r="C9" t="s">
        <v>22</v>
      </c>
      <c r="D9">
        <v>22</v>
      </c>
      <c r="E9">
        <v>99</v>
      </c>
      <c r="F9" s="1">
        <v>45139</v>
      </c>
      <c r="G9" s="1">
        <v>45144</v>
      </c>
      <c r="H9">
        <v>47808.55</v>
      </c>
    </row>
    <row r="10" spans="1:8" x14ac:dyDescent="0.35">
      <c r="A10" t="s">
        <v>24</v>
      </c>
      <c r="B10" t="s">
        <v>25</v>
      </c>
      <c r="C10" t="s">
        <v>26</v>
      </c>
      <c r="D10">
        <v>37</v>
      </c>
      <c r="E10">
        <v>173</v>
      </c>
      <c r="F10" s="1">
        <v>45200</v>
      </c>
      <c r="G10" s="1">
        <v>45211</v>
      </c>
      <c r="H10">
        <v>12284.65</v>
      </c>
    </row>
    <row r="11" spans="1:8" x14ac:dyDescent="0.35">
      <c r="A11" t="s">
        <v>16</v>
      </c>
      <c r="B11" t="s">
        <v>25</v>
      </c>
      <c r="C11" t="s">
        <v>13</v>
      </c>
      <c r="D11">
        <v>9</v>
      </c>
      <c r="E11">
        <v>198</v>
      </c>
      <c r="F11" s="1">
        <v>45089</v>
      </c>
      <c r="G11" s="1">
        <v>45095</v>
      </c>
      <c r="H11">
        <v>14650.23</v>
      </c>
    </row>
    <row r="12" spans="1:8" x14ac:dyDescent="0.35">
      <c r="A12" t="s">
        <v>27</v>
      </c>
      <c r="B12" t="s">
        <v>12</v>
      </c>
      <c r="C12" t="s">
        <v>15</v>
      </c>
      <c r="D12">
        <v>30</v>
      </c>
      <c r="E12">
        <v>107</v>
      </c>
      <c r="F12" s="1">
        <v>45267</v>
      </c>
      <c r="G12" s="1">
        <v>45268</v>
      </c>
      <c r="H12">
        <v>30006.959999999999</v>
      </c>
    </row>
    <row r="13" spans="1:8" x14ac:dyDescent="0.35">
      <c r="A13" t="s">
        <v>28</v>
      </c>
      <c r="B13" t="s">
        <v>29</v>
      </c>
      <c r="C13" t="s">
        <v>30</v>
      </c>
      <c r="D13">
        <v>39</v>
      </c>
      <c r="E13">
        <v>70</v>
      </c>
      <c r="F13" s="1">
        <v>45182</v>
      </c>
      <c r="G13" s="1">
        <v>45184</v>
      </c>
      <c r="H13">
        <v>13282.51</v>
      </c>
    </row>
    <row r="14" spans="1:8" x14ac:dyDescent="0.35">
      <c r="A14" t="s">
        <v>11</v>
      </c>
      <c r="B14" t="s">
        <v>25</v>
      </c>
      <c r="C14" t="s">
        <v>18</v>
      </c>
      <c r="D14">
        <v>22</v>
      </c>
      <c r="E14">
        <v>38</v>
      </c>
      <c r="F14" s="1">
        <v>44997</v>
      </c>
      <c r="G14" s="1">
        <v>45010</v>
      </c>
      <c r="H14">
        <v>13481.9</v>
      </c>
    </row>
    <row r="15" spans="1:8" x14ac:dyDescent="0.35">
      <c r="A15" t="s">
        <v>19</v>
      </c>
      <c r="B15" t="s">
        <v>31</v>
      </c>
      <c r="C15" t="s">
        <v>32</v>
      </c>
      <c r="D15">
        <v>32</v>
      </c>
      <c r="E15">
        <v>67</v>
      </c>
      <c r="F15" s="1">
        <v>45248</v>
      </c>
      <c r="G15" s="1">
        <v>45254</v>
      </c>
      <c r="H15">
        <v>36748.42</v>
      </c>
    </row>
    <row r="16" spans="1:8" x14ac:dyDescent="0.35">
      <c r="A16" t="s">
        <v>11</v>
      </c>
      <c r="B16" t="s">
        <v>25</v>
      </c>
      <c r="C16" t="s">
        <v>10</v>
      </c>
      <c r="D16">
        <v>27</v>
      </c>
      <c r="E16">
        <v>60</v>
      </c>
      <c r="F16" s="1">
        <v>45187</v>
      </c>
      <c r="G16" s="1">
        <v>45193</v>
      </c>
      <c r="H16">
        <v>37056.51</v>
      </c>
    </row>
    <row r="17" spans="1:8" x14ac:dyDescent="0.35">
      <c r="A17" t="s">
        <v>33</v>
      </c>
      <c r="B17" t="s">
        <v>14</v>
      </c>
      <c r="C17" t="s">
        <v>21</v>
      </c>
      <c r="D17">
        <v>48</v>
      </c>
      <c r="E17">
        <v>37</v>
      </c>
      <c r="F17" s="1">
        <v>45144</v>
      </c>
      <c r="G17" s="1">
        <v>45149</v>
      </c>
      <c r="H17">
        <v>15107.89</v>
      </c>
    </row>
    <row r="18" spans="1:8" x14ac:dyDescent="0.35">
      <c r="A18" t="s">
        <v>28</v>
      </c>
      <c r="B18" t="s">
        <v>9</v>
      </c>
      <c r="C18" t="s">
        <v>32</v>
      </c>
      <c r="D18">
        <v>17</v>
      </c>
      <c r="E18">
        <v>60</v>
      </c>
      <c r="F18" s="1">
        <v>45104</v>
      </c>
      <c r="G18" s="1">
        <v>45107</v>
      </c>
      <c r="H18">
        <v>9348.5499999999993</v>
      </c>
    </row>
    <row r="19" spans="1:8" x14ac:dyDescent="0.35">
      <c r="A19" t="s">
        <v>27</v>
      </c>
      <c r="B19" t="s">
        <v>9</v>
      </c>
      <c r="C19" t="s">
        <v>15</v>
      </c>
      <c r="D19">
        <v>40</v>
      </c>
      <c r="E19">
        <v>96</v>
      </c>
      <c r="F19" s="1">
        <v>45007</v>
      </c>
      <c r="G19" s="1">
        <v>45013</v>
      </c>
      <c r="H19">
        <v>48548.44</v>
      </c>
    </row>
    <row r="20" spans="1:8" x14ac:dyDescent="0.35">
      <c r="A20" t="s">
        <v>28</v>
      </c>
      <c r="B20" t="s">
        <v>14</v>
      </c>
      <c r="C20" t="s">
        <v>34</v>
      </c>
      <c r="D20">
        <v>14</v>
      </c>
      <c r="E20">
        <v>68</v>
      </c>
      <c r="F20" s="1">
        <v>45241</v>
      </c>
      <c r="G20" s="1">
        <v>45252</v>
      </c>
      <c r="H20">
        <v>29942.75</v>
      </c>
    </row>
    <row r="21" spans="1:8" x14ac:dyDescent="0.35">
      <c r="A21" t="s">
        <v>24</v>
      </c>
      <c r="B21" t="s">
        <v>35</v>
      </c>
      <c r="C21" t="s">
        <v>18</v>
      </c>
      <c r="D21">
        <v>41</v>
      </c>
      <c r="E21">
        <v>111</v>
      </c>
      <c r="F21" s="1">
        <v>45235</v>
      </c>
      <c r="G21" s="1">
        <v>45238</v>
      </c>
      <c r="H21">
        <v>43367.53</v>
      </c>
    </row>
    <row r="22" spans="1:8" x14ac:dyDescent="0.35">
      <c r="A22" t="s">
        <v>11</v>
      </c>
      <c r="B22" t="s">
        <v>29</v>
      </c>
      <c r="C22" t="s">
        <v>18</v>
      </c>
      <c r="D22">
        <v>46</v>
      </c>
      <c r="E22">
        <v>154</v>
      </c>
      <c r="F22" s="1">
        <v>44971</v>
      </c>
      <c r="G22" s="1">
        <v>44975</v>
      </c>
      <c r="H22">
        <v>41367.1</v>
      </c>
    </row>
    <row r="23" spans="1:8" x14ac:dyDescent="0.35">
      <c r="A23" t="s">
        <v>36</v>
      </c>
      <c r="B23" t="s">
        <v>37</v>
      </c>
      <c r="C23" t="s">
        <v>30</v>
      </c>
      <c r="D23">
        <v>7</v>
      </c>
      <c r="E23">
        <v>68</v>
      </c>
      <c r="F23" s="1">
        <v>45205</v>
      </c>
      <c r="G23" s="1">
        <v>45206</v>
      </c>
      <c r="H23">
        <v>30136.26</v>
      </c>
    </row>
    <row r="24" spans="1:8" x14ac:dyDescent="0.35">
      <c r="A24" t="s">
        <v>24</v>
      </c>
      <c r="B24" t="s">
        <v>17</v>
      </c>
      <c r="C24" t="s">
        <v>30</v>
      </c>
      <c r="D24">
        <v>28</v>
      </c>
      <c r="E24">
        <v>191</v>
      </c>
      <c r="F24" s="1">
        <v>45024</v>
      </c>
      <c r="G24" s="1">
        <v>45038</v>
      </c>
      <c r="H24">
        <v>17698.490000000002</v>
      </c>
    </row>
    <row r="25" spans="1:8" x14ac:dyDescent="0.35">
      <c r="A25" t="s">
        <v>11</v>
      </c>
      <c r="B25" t="s">
        <v>14</v>
      </c>
      <c r="C25" t="s">
        <v>22</v>
      </c>
      <c r="D25">
        <v>32</v>
      </c>
      <c r="E25">
        <v>116</v>
      </c>
      <c r="F25" s="1">
        <v>45227</v>
      </c>
      <c r="G25" s="1">
        <v>45229</v>
      </c>
      <c r="H25">
        <v>40799.019999999997</v>
      </c>
    </row>
    <row r="26" spans="1:8" x14ac:dyDescent="0.35">
      <c r="A26" t="s">
        <v>24</v>
      </c>
      <c r="B26" t="s">
        <v>17</v>
      </c>
      <c r="C26" t="s">
        <v>10</v>
      </c>
      <c r="D26">
        <v>5</v>
      </c>
      <c r="E26">
        <v>79</v>
      </c>
      <c r="F26" s="1">
        <v>45010</v>
      </c>
      <c r="G26" s="1">
        <v>45014</v>
      </c>
      <c r="H26">
        <v>20952.509999999998</v>
      </c>
    </row>
    <row r="27" spans="1:8" x14ac:dyDescent="0.35">
      <c r="A27" t="s">
        <v>19</v>
      </c>
      <c r="B27" t="s">
        <v>31</v>
      </c>
      <c r="C27" t="s">
        <v>22</v>
      </c>
      <c r="D27">
        <v>48</v>
      </c>
      <c r="E27">
        <v>91</v>
      </c>
      <c r="F27" s="1">
        <v>44981</v>
      </c>
      <c r="G27" s="1">
        <v>44989</v>
      </c>
      <c r="H27">
        <v>10882.4</v>
      </c>
    </row>
    <row r="28" spans="1:8" x14ac:dyDescent="0.35">
      <c r="A28" t="s">
        <v>24</v>
      </c>
      <c r="B28" t="s">
        <v>12</v>
      </c>
      <c r="C28" t="s">
        <v>13</v>
      </c>
      <c r="D28">
        <v>9</v>
      </c>
      <c r="E28">
        <v>59</v>
      </c>
      <c r="F28" s="1">
        <v>45239</v>
      </c>
      <c r="G28" s="1">
        <v>45246</v>
      </c>
      <c r="H28">
        <v>25177.79</v>
      </c>
    </row>
    <row r="29" spans="1:8" x14ac:dyDescent="0.35">
      <c r="A29" t="s">
        <v>24</v>
      </c>
      <c r="B29" t="s">
        <v>31</v>
      </c>
      <c r="C29" t="s">
        <v>13</v>
      </c>
      <c r="D29">
        <v>9</v>
      </c>
      <c r="E29">
        <v>171</v>
      </c>
      <c r="F29" s="1">
        <v>45022</v>
      </c>
      <c r="G29" s="1">
        <v>45037</v>
      </c>
      <c r="H29">
        <v>21666.78</v>
      </c>
    </row>
    <row r="30" spans="1:8" x14ac:dyDescent="0.35">
      <c r="A30" t="s">
        <v>24</v>
      </c>
      <c r="B30" t="s">
        <v>31</v>
      </c>
      <c r="C30" t="s">
        <v>30</v>
      </c>
      <c r="D30">
        <v>20</v>
      </c>
      <c r="E30">
        <v>39</v>
      </c>
      <c r="F30" s="1">
        <v>45051</v>
      </c>
      <c r="G30" s="1">
        <v>45056</v>
      </c>
      <c r="H30">
        <v>37856.699999999997</v>
      </c>
    </row>
    <row r="31" spans="1:8" x14ac:dyDescent="0.35">
      <c r="A31" t="s">
        <v>28</v>
      </c>
      <c r="B31" t="s">
        <v>12</v>
      </c>
      <c r="C31" t="s">
        <v>32</v>
      </c>
      <c r="D31">
        <v>46</v>
      </c>
      <c r="E31">
        <v>55</v>
      </c>
      <c r="F31" s="1">
        <v>45194</v>
      </c>
      <c r="G31" s="1">
        <v>45198</v>
      </c>
      <c r="H31">
        <v>25298.5</v>
      </c>
    </row>
    <row r="32" spans="1:8" x14ac:dyDescent="0.35">
      <c r="A32" t="s">
        <v>19</v>
      </c>
      <c r="B32" t="s">
        <v>17</v>
      </c>
      <c r="C32" t="s">
        <v>30</v>
      </c>
      <c r="D32">
        <v>7</v>
      </c>
      <c r="E32">
        <v>88</v>
      </c>
      <c r="F32" s="1">
        <v>45058</v>
      </c>
      <c r="G32" s="1">
        <v>45067</v>
      </c>
      <c r="H32">
        <v>28558.23</v>
      </c>
    </row>
    <row r="33" spans="1:8" x14ac:dyDescent="0.35">
      <c r="A33" t="s">
        <v>23</v>
      </c>
      <c r="B33" t="s">
        <v>9</v>
      </c>
      <c r="C33" t="s">
        <v>30</v>
      </c>
      <c r="D33">
        <v>36</v>
      </c>
      <c r="E33">
        <v>69</v>
      </c>
      <c r="F33" s="1">
        <v>45188</v>
      </c>
      <c r="G33" s="1">
        <v>45189</v>
      </c>
      <c r="H33">
        <v>44452.26</v>
      </c>
    </row>
    <row r="34" spans="1:8" x14ac:dyDescent="0.35">
      <c r="A34" t="s">
        <v>28</v>
      </c>
      <c r="B34" t="s">
        <v>29</v>
      </c>
      <c r="C34" t="s">
        <v>34</v>
      </c>
      <c r="D34">
        <v>20</v>
      </c>
      <c r="E34">
        <v>94</v>
      </c>
      <c r="F34" s="1">
        <v>45159</v>
      </c>
      <c r="G34" s="1">
        <v>45166</v>
      </c>
      <c r="H34">
        <v>49955.41</v>
      </c>
    </row>
    <row r="35" spans="1:8" x14ac:dyDescent="0.35">
      <c r="A35" t="s">
        <v>27</v>
      </c>
      <c r="B35" t="s">
        <v>25</v>
      </c>
      <c r="C35" t="s">
        <v>30</v>
      </c>
      <c r="D35">
        <v>38</v>
      </c>
      <c r="E35">
        <v>139</v>
      </c>
      <c r="F35" s="1">
        <v>45108</v>
      </c>
      <c r="G35" s="1">
        <v>45122</v>
      </c>
      <c r="H35">
        <v>14118.62</v>
      </c>
    </row>
    <row r="36" spans="1:8" x14ac:dyDescent="0.35">
      <c r="A36" t="s">
        <v>23</v>
      </c>
      <c r="B36" t="s">
        <v>25</v>
      </c>
      <c r="C36" t="s">
        <v>18</v>
      </c>
      <c r="D36">
        <v>38</v>
      </c>
      <c r="E36">
        <v>62</v>
      </c>
      <c r="F36" s="1">
        <v>45084</v>
      </c>
      <c r="G36" s="1">
        <v>45094</v>
      </c>
      <c r="H36">
        <v>22074.89</v>
      </c>
    </row>
    <row r="37" spans="1:8" x14ac:dyDescent="0.35">
      <c r="A37" t="s">
        <v>23</v>
      </c>
      <c r="B37" t="s">
        <v>20</v>
      </c>
      <c r="C37" t="s">
        <v>10</v>
      </c>
      <c r="D37">
        <v>22</v>
      </c>
      <c r="E37">
        <v>133</v>
      </c>
      <c r="F37" s="1">
        <v>44970</v>
      </c>
      <c r="G37" s="1">
        <v>44985</v>
      </c>
      <c r="H37">
        <v>18795.689999999999</v>
      </c>
    </row>
    <row r="38" spans="1:8" x14ac:dyDescent="0.35">
      <c r="A38" t="s">
        <v>8</v>
      </c>
      <c r="B38" t="s">
        <v>25</v>
      </c>
      <c r="C38" t="s">
        <v>34</v>
      </c>
      <c r="D38">
        <v>47</v>
      </c>
      <c r="E38">
        <v>84</v>
      </c>
      <c r="F38" s="1">
        <v>44946</v>
      </c>
      <c r="G38" s="1">
        <v>44952</v>
      </c>
      <c r="H38">
        <v>26646.52</v>
      </c>
    </row>
    <row r="39" spans="1:8" x14ac:dyDescent="0.35">
      <c r="A39" t="s">
        <v>11</v>
      </c>
      <c r="B39" t="s">
        <v>25</v>
      </c>
      <c r="C39" t="s">
        <v>22</v>
      </c>
      <c r="D39">
        <v>15</v>
      </c>
      <c r="E39">
        <v>40</v>
      </c>
      <c r="F39" s="1">
        <v>45222</v>
      </c>
      <c r="G39" s="1">
        <v>45225</v>
      </c>
      <c r="H39">
        <v>37057.29</v>
      </c>
    </row>
    <row r="40" spans="1:8" x14ac:dyDescent="0.35">
      <c r="A40" t="s">
        <v>28</v>
      </c>
      <c r="B40" t="s">
        <v>35</v>
      </c>
      <c r="C40" t="s">
        <v>26</v>
      </c>
      <c r="D40">
        <v>46</v>
      </c>
      <c r="E40">
        <v>23</v>
      </c>
      <c r="F40" s="1">
        <v>45073</v>
      </c>
      <c r="G40" s="1">
        <v>45075</v>
      </c>
      <c r="H40">
        <v>40771.839999999997</v>
      </c>
    </row>
    <row r="41" spans="1:8" x14ac:dyDescent="0.35">
      <c r="A41" t="s">
        <v>19</v>
      </c>
      <c r="B41" t="s">
        <v>20</v>
      </c>
      <c r="C41" t="s">
        <v>18</v>
      </c>
      <c r="D41">
        <v>6</v>
      </c>
      <c r="E41">
        <v>166</v>
      </c>
      <c r="F41" s="1">
        <v>45276</v>
      </c>
      <c r="G41" s="1">
        <v>45285</v>
      </c>
      <c r="H41">
        <v>40731.29</v>
      </c>
    </row>
    <row r="42" spans="1:8" x14ac:dyDescent="0.35">
      <c r="A42" t="s">
        <v>8</v>
      </c>
      <c r="B42" t="s">
        <v>31</v>
      </c>
      <c r="C42" t="s">
        <v>18</v>
      </c>
      <c r="D42">
        <v>37</v>
      </c>
      <c r="E42">
        <v>85</v>
      </c>
      <c r="F42" s="1">
        <v>45086</v>
      </c>
      <c r="G42" s="1">
        <v>45093</v>
      </c>
      <c r="H42">
        <v>4872.04</v>
      </c>
    </row>
    <row r="43" spans="1:8" x14ac:dyDescent="0.35">
      <c r="A43" t="s">
        <v>36</v>
      </c>
      <c r="B43" t="s">
        <v>31</v>
      </c>
      <c r="C43" t="s">
        <v>34</v>
      </c>
      <c r="D43">
        <v>22</v>
      </c>
      <c r="E43">
        <v>167</v>
      </c>
      <c r="F43" s="1">
        <v>45289</v>
      </c>
      <c r="G43" s="1">
        <v>45301</v>
      </c>
      <c r="H43">
        <v>44531.22</v>
      </c>
    </row>
    <row r="44" spans="1:8" x14ac:dyDescent="0.35">
      <c r="A44" t="s">
        <v>24</v>
      </c>
      <c r="B44" t="s">
        <v>9</v>
      </c>
      <c r="C44" t="s">
        <v>13</v>
      </c>
      <c r="D44">
        <v>8</v>
      </c>
      <c r="E44">
        <v>61</v>
      </c>
      <c r="F44" s="1">
        <v>45179</v>
      </c>
      <c r="G44" s="1">
        <v>45184</v>
      </c>
      <c r="H44">
        <v>42769.14</v>
      </c>
    </row>
    <row r="45" spans="1:8" x14ac:dyDescent="0.35">
      <c r="A45" t="s">
        <v>11</v>
      </c>
      <c r="B45" t="s">
        <v>37</v>
      </c>
      <c r="C45" t="s">
        <v>21</v>
      </c>
      <c r="D45">
        <v>30</v>
      </c>
      <c r="E45">
        <v>69</v>
      </c>
      <c r="F45" s="1">
        <v>45243</v>
      </c>
      <c r="G45" s="1">
        <v>45256</v>
      </c>
      <c r="H45">
        <v>14701.02</v>
      </c>
    </row>
    <row r="46" spans="1:8" x14ac:dyDescent="0.35">
      <c r="A46" t="s">
        <v>19</v>
      </c>
      <c r="B46" t="s">
        <v>25</v>
      </c>
      <c r="C46" t="s">
        <v>21</v>
      </c>
      <c r="D46">
        <v>11</v>
      </c>
      <c r="E46">
        <v>22</v>
      </c>
      <c r="F46" s="1">
        <v>45061</v>
      </c>
      <c r="G46" s="1">
        <v>45064</v>
      </c>
      <c r="H46">
        <v>48466.080000000002</v>
      </c>
    </row>
    <row r="47" spans="1:8" x14ac:dyDescent="0.35">
      <c r="A47" t="s">
        <v>33</v>
      </c>
      <c r="B47" t="s">
        <v>37</v>
      </c>
      <c r="C47" t="s">
        <v>13</v>
      </c>
      <c r="D47">
        <v>37</v>
      </c>
      <c r="E47">
        <v>26</v>
      </c>
      <c r="F47" s="1">
        <v>45117</v>
      </c>
      <c r="G47" s="1">
        <v>45131</v>
      </c>
      <c r="H47">
        <v>25367.78</v>
      </c>
    </row>
    <row r="48" spans="1:8" x14ac:dyDescent="0.35">
      <c r="A48" t="s">
        <v>27</v>
      </c>
      <c r="B48" t="s">
        <v>14</v>
      </c>
      <c r="C48" t="s">
        <v>30</v>
      </c>
      <c r="D48">
        <v>15</v>
      </c>
      <c r="E48">
        <v>112</v>
      </c>
      <c r="F48" s="1">
        <v>45011</v>
      </c>
      <c r="G48" s="1">
        <v>45013</v>
      </c>
      <c r="H48">
        <v>32628.67</v>
      </c>
    </row>
    <row r="49" spans="1:8" x14ac:dyDescent="0.35">
      <c r="A49" t="s">
        <v>16</v>
      </c>
      <c r="B49" t="s">
        <v>31</v>
      </c>
      <c r="C49" t="s">
        <v>18</v>
      </c>
      <c r="D49">
        <v>30</v>
      </c>
      <c r="E49">
        <v>161</v>
      </c>
      <c r="F49" s="1">
        <v>45240</v>
      </c>
      <c r="G49" s="1">
        <v>45255</v>
      </c>
      <c r="H49">
        <v>10166.89</v>
      </c>
    </row>
    <row r="50" spans="1:8" x14ac:dyDescent="0.35">
      <c r="A50" t="s">
        <v>27</v>
      </c>
      <c r="B50" t="s">
        <v>37</v>
      </c>
      <c r="C50" t="s">
        <v>15</v>
      </c>
      <c r="D50">
        <v>8</v>
      </c>
      <c r="E50">
        <v>177</v>
      </c>
      <c r="F50" s="1">
        <v>45151</v>
      </c>
      <c r="G50" s="1">
        <v>45155</v>
      </c>
      <c r="H50">
        <v>15913.48</v>
      </c>
    </row>
    <row r="51" spans="1:8" x14ac:dyDescent="0.35">
      <c r="A51" t="s">
        <v>28</v>
      </c>
      <c r="B51" t="s">
        <v>17</v>
      </c>
      <c r="C51" t="s">
        <v>15</v>
      </c>
      <c r="D51">
        <v>30</v>
      </c>
      <c r="E51">
        <v>158</v>
      </c>
      <c r="F51" s="1">
        <v>45243</v>
      </c>
      <c r="G51" s="1">
        <v>45252</v>
      </c>
      <c r="H51">
        <v>16757.509999999998</v>
      </c>
    </row>
    <row r="52" spans="1:8" x14ac:dyDescent="0.35">
      <c r="A52" t="s">
        <v>8</v>
      </c>
      <c r="B52" t="s">
        <v>14</v>
      </c>
      <c r="C52" t="s">
        <v>34</v>
      </c>
      <c r="D52">
        <v>27</v>
      </c>
      <c r="E52">
        <v>65</v>
      </c>
      <c r="F52" s="1">
        <v>45014</v>
      </c>
      <c r="G52" s="1">
        <v>45024</v>
      </c>
      <c r="H52">
        <v>35720.61</v>
      </c>
    </row>
    <row r="53" spans="1:8" x14ac:dyDescent="0.35">
      <c r="A53" t="s">
        <v>27</v>
      </c>
      <c r="B53" t="s">
        <v>25</v>
      </c>
      <c r="C53" t="s">
        <v>26</v>
      </c>
      <c r="D53">
        <v>45</v>
      </c>
      <c r="E53">
        <v>88</v>
      </c>
      <c r="F53" s="1">
        <v>45098</v>
      </c>
      <c r="G53" s="1">
        <v>45112</v>
      </c>
      <c r="H53">
        <v>9438.26</v>
      </c>
    </row>
    <row r="54" spans="1:8" x14ac:dyDescent="0.35">
      <c r="A54" t="s">
        <v>8</v>
      </c>
      <c r="B54" t="s">
        <v>31</v>
      </c>
      <c r="C54" t="s">
        <v>32</v>
      </c>
      <c r="D54">
        <v>32</v>
      </c>
      <c r="E54">
        <v>51</v>
      </c>
      <c r="F54" s="1">
        <v>45290</v>
      </c>
      <c r="G54" s="1">
        <v>45303</v>
      </c>
      <c r="H54">
        <v>27223.46</v>
      </c>
    </row>
    <row r="55" spans="1:8" x14ac:dyDescent="0.35">
      <c r="A55" t="s">
        <v>36</v>
      </c>
      <c r="B55" t="s">
        <v>20</v>
      </c>
      <c r="C55" t="s">
        <v>21</v>
      </c>
      <c r="D55">
        <v>10</v>
      </c>
      <c r="E55">
        <v>94</v>
      </c>
      <c r="F55" s="1">
        <v>44944</v>
      </c>
      <c r="G55" s="1">
        <v>44959</v>
      </c>
      <c r="H55">
        <v>35570.839999999997</v>
      </c>
    </row>
    <row r="56" spans="1:8" x14ac:dyDescent="0.35">
      <c r="A56" t="s">
        <v>28</v>
      </c>
      <c r="B56" t="s">
        <v>14</v>
      </c>
      <c r="C56" t="s">
        <v>18</v>
      </c>
      <c r="D56">
        <v>13</v>
      </c>
      <c r="E56">
        <v>75</v>
      </c>
      <c r="F56" s="1">
        <v>44964</v>
      </c>
      <c r="G56" s="1">
        <v>44970</v>
      </c>
      <c r="H56">
        <v>26027.37</v>
      </c>
    </row>
    <row r="57" spans="1:8" x14ac:dyDescent="0.35">
      <c r="A57" t="s">
        <v>33</v>
      </c>
      <c r="B57" t="s">
        <v>29</v>
      </c>
      <c r="C57" t="s">
        <v>18</v>
      </c>
      <c r="D57">
        <v>23</v>
      </c>
      <c r="E57">
        <v>109</v>
      </c>
      <c r="F57" s="1">
        <v>45100</v>
      </c>
      <c r="G57" s="1">
        <v>45108</v>
      </c>
      <c r="H57">
        <v>36909.89</v>
      </c>
    </row>
    <row r="58" spans="1:8" x14ac:dyDescent="0.35">
      <c r="A58" t="s">
        <v>11</v>
      </c>
      <c r="B58" t="s">
        <v>12</v>
      </c>
      <c r="C58" t="s">
        <v>22</v>
      </c>
      <c r="D58">
        <v>41</v>
      </c>
      <c r="E58">
        <v>47</v>
      </c>
      <c r="F58" s="1">
        <v>45010</v>
      </c>
      <c r="G58" s="1">
        <v>45014</v>
      </c>
      <c r="H58">
        <v>8519.11</v>
      </c>
    </row>
    <row r="59" spans="1:8" x14ac:dyDescent="0.35">
      <c r="A59" t="s">
        <v>36</v>
      </c>
      <c r="B59" t="s">
        <v>9</v>
      </c>
      <c r="C59" t="s">
        <v>15</v>
      </c>
      <c r="D59">
        <v>9</v>
      </c>
      <c r="E59">
        <v>134</v>
      </c>
      <c r="F59" s="1">
        <v>45063</v>
      </c>
      <c r="G59" s="1">
        <v>45077</v>
      </c>
      <c r="H59">
        <v>48873.72</v>
      </c>
    </row>
    <row r="60" spans="1:8" x14ac:dyDescent="0.35">
      <c r="A60" t="s">
        <v>36</v>
      </c>
      <c r="B60" t="s">
        <v>17</v>
      </c>
      <c r="C60" t="s">
        <v>26</v>
      </c>
      <c r="D60">
        <v>49</v>
      </c>
      <c r="E60">
        <v>42</v>
      </c>
      <c r="F60" s="1">
        <v>45288</v>
      </c>
      <c r="G60" s="1">
        <v>45298</v>
      </c>
      <c r="H60">
        <v>31342.58</v>
      </c>
    </row>
    <row r="61" spans="1:8" x14ac:dyDescent="0.35">
      <c r="A61" t="s">
        <v>23</v>
      </c>
      <c r="B61" t="s">
        <v>14</v>
      </c>
      <c r="C61" t="s">
        <v>10</v>
      </c>
      <c r="D61">
        <v>48</v>
      </c>
      <c r="E61">
        <v>138</v>
      </c>
      <c r="F61" s="1">
        <v>44944</v>
      </c>
      <c r="G61" s="1">
        <v>44952</v>
      </c>
      <c r="H61">
        <v>46741.91</v>
      </c>
    </row>
    <row r="62" spans="1:8" x14ac:dyDescent="0.35">
      <c r="A62" t="s">
        <v>23</v>
      </c>
      <c r="B62" t="s">
        <v>37</v>
      </c>
      <c r="C62" t="s">
        <v>13</v>
      </c>
      <c r="D62">
        <v>42</v>
      </c>
      <c r="E62">
        <v>58</v>
      </c>
      <c r="F62" s="1">
        <v>45187</v>
      </c>
      <c r="G62" s="1">
        <v>45188</v>
      </c>
      <c r="H62">
        <v>26614.52</v>
      </c>
    </row>
    <row r="63" spans="1:8" x14ac:dyDescent="0.35">
      <c r="A63" t="s">
        <v>28</v>
      </c>
      <c r="B63" t="s">
        <v>14</v>
      </c>
      <c r="C63" t="s">
        <v>18</v>
      </c>
      <c r="D63">
        <v>21</v>
      </c>
      <c r="E63">
        <v>50</v>
      </c>
      <c r="F63" s="1">
        <v>45099</v>
      </c>
      <c r="G63" s="1">
        <v>45104</v>
      </c>
      <c r="H63">
        <v>10978.18</v>
      </c>
    </row>
    <row r="64" spans="1:8" x14ac:dyDescent="0.35">
      <c r="A64" t="s">
        <v>23</v>
      </c>
      <c r="B64" t="s">
        <v>35</v>
      </c>
      <c r="C64" t="s">
        <v>13</v>
      </c>
      <c r="D64">
        <v>21</v>
      </c>
      <c r="E64">
        <v>66</v>
      </c>
      <c r="F64" s="1">
        <v>45289</v>
      </c>
      <c r="G64" s="1">
        <v>45304</v>
      </c>
      <c r="H64">
        <v>31175.27</v>
      </c>
    </row>
    <row r="65" spans="1:8" x14ac:dyDescent="0.35">
      <c r="A65" t="s">
        <v>33</v>
      </c>
      <c r="B65" t="s">
        <v>12</v>
      </c>
      <c r="C65" t="s">
        <v>10</v>
      </c>
      <c r="D65">
        <v>31</v>
      </c>
      <c r="E65">
        <v>122</v>
      </c>
      <c r="F65" s="1">
        <v>45240</v>
      </c>
      <c r="G65" s="1">
        <v>45243</v>
      </c>
      <c r="H65">
        <v>44290.86</v>
      </c>
    </row>
    <row r="66" spans="1:8" x14ac:dyDescent="0.35">
      <c r="A66" t="s">
        <v>16</v>
      </c>
      <c r="B66" t="s">
        <v>37</v>
      </c>
      <c r="C66" t="s">
        <v>13</v>
      </c>
      <c r="D66">
        <v>26</v>
      </c>
      <c r="E66">
        <v>85</v>
      </c>
      <c r="F66" s="1">
        <v>45194</v>
      </c>
      <c r="G66" s="1">
        <v>45198</v>
      </c>
      <c r="H66">
        <v>7502.64</v>
      </c>
    </row>
    <row r="67" spans="1:8" x14ac:dyDescent="0.35">
      <c r="A67" t="s">
        <v>36</v>
      </c>
      <c r="B67" t="s">
        <v>31</v>
      </c>
      <c r="C67" t="s">
        <v>13</v>
      </c>
      <c r="D67">
        <v>31</v>
      </c>
      <c r="E67">
        <v>75</v>
      </c>
      <c r="F67" s="1">
        <v>45083</v>
      </c>
      <c r="G67" s="1">
        <v>45088</v>
      </c>
      <c r="H67">
        <v>7121.37</v>
      </c>
    </row>
    <row r="68" spans="1:8" x14ac:dyDescent="0.35">
      <c r="A68" t="s">
        <v>16</v>
      </c>
      <c r="B68" t="s">
        <v>25</v>
      </c>
      <c r="C68" t="s">
        <v>18</v>
      </c>
      <c r="D68">
        <v>39</v>
      </c>
      <c r="E68">
        <v>70</v>
      </c>
      <c r="F68" s="1">
        <v>45135</v>
      </c>
      <c r="G68" s="1">
        <v>45142</v>
      </c>
      <c r="H68">
        <v>48241</v>
      </c>
    </row>
    <row r="69" spans="1:8" x14ac:dyDescent="0.35">
      <c r="A69" t="s">
        <v>19</v>
      </c>
      <c r="B69" t="s">
        <v>14</v>
      </c>
      <c r="C69" t="s">
        <v>34</v>
      </c>
      <c r="D69">
        <v>14</v>
      </c>
      <c r="E69">
        <v>91</v>
      </c>
      <c r="F69" s="1">
        <v>45127</v>
      </c>
      <c r="G69" s="1">
        <v>45141</v>
      </c>
      <c r="H69">
        <v>33446.239999999998</v>
      </c>
    </row>
    <row r="70" spans="1:8" x14ac:dyDescent="0.35">
      <c r="A70" t="s">
        <v>11</v>
      </c>
      <c r="B70" t="s">
        <v>37</v>
      </c>
      <c r="C70" t="s">
        <v>13</v>
      </c>
      <c r="D70">
        <v>14</v>
      </c>
      <c r="E70">
        <v>62</v>
      </c>
      <c r="F70" s="1">
        <v>45277</v>
      </c>
      <c r="G70" s="1">
        <v>45290</v>
      </c>
      <c r="H70">
        <v>13590.65</v>
      </c>
    </row>
    <row r="71" spans="1:8" x14ac:dyDescent="0.35">
      <c r="A71" t="s">
        <v>19</v>
      </c>
      <c r="B71" t="s">
        <v>9</v>
      </c>
      <c r="C71" t="s">
        <v>21</v>
      </c>
      <c r="D71">
        <v>28</v>
      </c>
      <c r="E71">
        <v>84</v>
      </c>
      <c r="F71" s="1">
        <v>44965</v>
      </c>
      <c r="G71" s="1">
        <v>44979</v>
      </c>
      <c r="H71">
        <v>20849.310000000001</v>
      </c>
    </row>
    <row r="72" spans="1:8" x14ac:dyDescent="0.35">
      <c r="A72" t="s">
        <v>27</v>
      </c>
      <c r="B72" t="s">
        <v>17</v>
      </c>
      <c r="C72" t="s">
        <v>34</v>
      </c>
      <c r="D72">
        <v>35</v>
      </c>
      <c r="E72">
        <v>57</v>
      </c>
      <c r="F72" s="1">
        <v>45147</v>
      </c>
      <c r="G72" s="1">
        <v>45157</v>
      </c>
      <c r="H72">
        <v>4388.33</v>
      </c>
    </row>
    <row r="73" spans="1:8" x14ac:dyDescent="0.35">
      <c r="A73" t="s">
        <v>28</v>
      </c>
      <c r="B73" t="s">
        <v>12</v>
      </c>
      <c r="C73" t="s">
        <v>15</v>
      </c>
      <c r="D73">
        <v>5</v>
      </c>
      <c r="E73">
        <v>41</v>
      </c>
      <c r="F73" s="1">
        <v>45016</v>
      </c>
      <c r="G73" s="1">
        <v>45021</v>
      </c>
      <c r="H73">
        <v>23916.63</v>
      </c>
    </row>
    <row r="74" spans="1:8" x14ac:dyDescent="0.35">
      <c r="A74" t="s">
        <v>16</v>
      </c>
      <c r="B74" t="s">
        <v>37</v>
      </c>
      <c r="C74" t="s">
        <v>18</v>
      </c>
      <c r="D74">
        <v>29</v>
      </c>
      <c r="E74">
        <v>54</v>
      </c>
      <c r="F74" s="1">
        <v>45221</v>
      </c>
      <c r="G74" s="1">
        <v>45235</v>
      </c>
      <c r="H74">
        <v>5084.1099999999997</v>
      </c>
    </row>
    <row r="75" spans="1:8" x14ac:dyDescent="0.35">
      <c r="A75" t="s">
        <v>24</v>
      </c>
      <c r="B75" t="s">
        <v>14</v>
      </c>
      <c r="C75" t="s">
        <v>34</v>
      </c>
      <c r="D75">
        <v>28</v>
      </c>
      <c r="E75">
        <v>102</v>
      </c>
      <c r="F75" s="1">
        <v>45273</v>
      </c>
      <c r="G75" s="1">
        <v>45280</v>
      </c>
      <c r="H75">
        <v>23328.9</v>
      </c>
    </row>
    <row r="76" spans="1:8" x14ac:dyDescent="0.35">
      <c r="A76" t="s">
        <v>19</v>
      </c>
      <c r="B76" t="s">
        <v>35</v>
      </c>
      <c r="C76" t="s">
        <v>15</v>
      </c>
      <c r="D76">
        <v>41</v>
      </c>
      <c r="E76">
        <v>27</v>
      </c>
      <c r="F76" s="1">
        <v>44977</v>
      </c>
      <c r="G76" s="1">
        <v>44991</v>
      </c>
      <c r="H76">
        <v>33417.279999999999</v>
      </c>
    </row>
    <row r="77" spans="1:8" x14ac:dyDescent="0.35">
      <c r="A77" t="s">
        <v>28</v>
      </c>
      <c r="B77" t="s">
        <v>25</v>
      </c>
      <c r="C77" t="s">
        <v>32</v>
      </c>
      <c r="D77">
        <v>6</v>
      </c>
      <c r="E77">
        <v>110</v>
      </c>
      <c r="F77" s="1">
        <v>45190</v>
      </c>
      <c r="G77" s="1">
        <v>45205</v>
      </c>
      <c r="H77">
        <v>36545.43</v>
      </c>
    </row>
    <row r="78" spans="1:8" x14ac:dyDescent="0.35">
      <c r="A78" t="s">
        <v>33</v>
      </c>
      <c r="B78" t="s">
        <v>25</v>
      </c>
      <c r="C78" t="s">
        <v>22</v>
      </c>
      <c r="D78">
        <v>19</v>
      </c>
      <c r="E78">
        <v>31</v>
      </c>
      <c r="F78" s="1">
        <v>45108</v>
      </c>
      <c r="G78" s="1">
        <v>45122</v>
      </c>
      <c r="H78">
        <v>43687.01</v>
      </c>
    </row>
    <row r="79" spans="1:8" x14ac:dyDescent="0.35">
      <c r="A79" t="s">
        <v>33</v>
      </c>
      <c r="B79" t="s">
        <v>20</v>
      </c>
      <c r="C79" t="s">
        <v>32</v>
      </c>
      <c r="D79">
        <v>7</v>
      </c>
      <c r="E79">
        <v>50</v>
      </c>
      <c r="F79" s="1">
        <v>45140</v>
      </c>
      <c r="G79" s="1">
        <v>45145</v>
      </c>
      <c r="H79">
        <v>13902.24</v>
      </c>
    </row>
    <row r="80" spans="1:8" x14ac:dyDescent="0.35">
      <c r="A80" t="s">
        <v>24</v>
      </c>
      <c r="B80" t="s">
        <v>29</v>
      </c>
      <c r="C80" t="s">
        <v>34</v>
      </c>
      <c r="D80">
        <v>32</v>
      </c>
      <c r="E80">
        <v>56</v>
      </c>
      <c r="F80" s="1">
        <v>44937</v>
      </c>
      <c r="G80" s="1">
        <v>44952</v>
      </c>
      <c r="H80">
        <v>22456.61</v>
      </c>
    </row>
    <row r="81" spans="1:8" x14ac:dyDescent="0.35">
      <c r="A81" t="s">
        <v>36</v>
      </c>
      <c r="B81" t="s">
        <v>9</v>
      </c>
      <c r="C81" t="s">
        <v>18</v>
      </c>
      <c r="D81">
        <v>28</v>
      </c>
      <c r="E81">
        <v>154</v>
      </c>
      <c r="F81" s="1">
        <v>45173</v>
      </c>
      <c r="G81" s="1">
        <v>45188</v>
      </c>
      <c r="H81">
        <v>23012.639999999999</v>
      </c>
    </row>
    <row r="82" spans="1:8" x14ac:dyDescent="0.35">
      <c r="A82" t="s">
        <v>16</v>
      </c>
      <c r="B82" t="s">
        <v>31</v>
      </c>
      <c r="C82" t="s">
        <v>34</v>
      </c>
      <c r="D82">
        <v>44</v>
      </c>
      <c r="E82">
        <v>194</v>
      </c>
      <c r="F82" s="1">
        <v>45156</v>
      </c>
      <c r="G82" s="1">
        <v>45165</v>
      </c>
      <c r="H82">
        <v>33963.65</v>
      </c>
    </row>
    <row r="83" spans="1:8" x14ac:dyDescent="0.35">
      <c r="A83" t="s">
        <v>24</v>
      </c>
      <c r="B83" t="s">
        <v>17</v>
      </c>
      <c r="C83" t="s">
        <v>21</v>
      </c>
      <c r="D83">
        <v>40</v>
      </c>
      <c r="E83">
        <v>150</v>
      </c>
      <c r="F83" s="1">
        <v>45047</v>
      </c>
      <c r="G83" s="1">
        <v>45048</v>
      </c>
      <c r="H83">
        <v>9775.99</v>
      </c>
    </row>
    <row r="84" spans="1:8" x14ac:dyDescent="0.35">
      <c r="A84" t="s">
        <v>36</v>
      </c>
      <c r="B84" t="s">
        <v>14</v>
      </c>
      <c r="C84" t="s">
        <v>18</v>
      </c>
      <c r="D84">
        <v>38</v>
      </c>
      <c r="E84">
        <v>108</v>
      </c>
      <c r="F84" s="1">
        <v>45024</v>
      </c>
      <c r="G84" s="1">
        <v>45036</v>
      </c>
      <c r="H84">
        <v>17211.57</v>
      </c>
    </row>
    <row r="85" spans="1:8" x14ac:dyDescent="0.35">
      <c r="A85" t="s">
        <v>23</v>
      </c>
      <c r="B85" t="s">
        <v>14</v>
      </c>
      <c r="C85" t="s">
        <v>18</v>
      </c>
      <c r="D85">
        <v>17</v>
      </c>
      <c r="E85">
        <v>29</v>
      </c>
      <c r="F85" s="1">
        <v>44942</v>
      </c>
      <c r="G85" s="1">
        <v>44951</v>
      </c>
      <c r="H85">
        <v>17999.48</v>
      </c>
    </row>
    <row r="86" spans="1:8" x14ac:dyDescent="0.35">
      <c r="A86" t="s">
        <v>36</v>
      </c>
      <c r="B86" t="s">
        <v>17</v>
      </c>
      <c r="C86" t="s">
        <v>30</v>
      </c>
      <c r="D86">
        <v>43</v>
      </c>
      <c r="E86">
        <v>96</v>
      </c>
      <c r="F86" s="1">
        <v>44961</v>
      </c>
      <c r="G86" s="1">
        <v>44962</v>
      </c>
      <c r="H86">
        <v>42883.43</v>
      </c>
    </row>
    <row r="87" spans="1:8" x14ac:dyDescent="0.35">
      <c r="A87" t="s">
        <v>23</v>
      </c>
      <c r="B87" t="s">
        <v>35</v>
      </c>
      <c r="C87" t="s">
        <v>32</v>
      </c>
      <c r="D87">
        <v>21</v>
      </c>
      <c r="E87">
        <v>151</v>
      </c>
      <c r="F87" s="1">
        <v>45084</v>
      </c>
      <c r="G87" s="1">
        <v>45086</v>
      </c>
      <c r="H87">
        <v>2854.22</v>
      </c>
    </row>
    <row r="88" spans="1:8" x14ac:dyDescent="0.35">
      <c r="A88" t="s">
        <v>33</v>
      </c>
      <c r="B88" t="s">
        <v>25</v>
      </c>
      <c r="C88" t="s">
        <v>34</v>
      </c>
      <c r="D88">
        <v>40</v>
      </c>
      <c r="E88">
        <v>88</v>
      </c>
      <c r="F88" s="1">
        <v>45007</v>
      </c>
      <c r="G88" s="1">
        <v>45010</v>
      </c>
      <c r="H88">
        <v>8333.48</v>
      </c>
    </row>
    <row r="89" spans="1:8" x14ac:dyDescent="0.35">
      <c r="A89" t="s">
        <v>19</v>
      </c>
      <c r="B89" t="s">
        <v>14</v>
      </c>
      <c r="C89" t="s">
        <v>18</v>
      </c>
      <c r="D89">
        <v>25</v>
      </c>
      <c r="E89">
        <v>131</v>
      </c>
      <c r="F89" s="1">
        <v>45107</v>
      </c>
      <c r="G89" s="1">
        <v>45109</v>
      </c>
      <c r="H89">
        <v>47678.73</v>
      </c>
    </row>
    <row r="90" spans="1:8" x14ac:dyDescent="0.35">
      <c r="A90" t="s">
        <v>11</v>
      </c>
      <c r="B90" t="s">
        <v>14</v>
      </c>
      <c r="C90" t="s">
        <v>30</v>
      </c>
      <c r="D90">
        <v>9</v>
      </c>
      <c r="E90">
        <v>106</v>
      </c>
      <c r="F90" s="1">
        <v>45244</v>
      </c>
      <c r="G90" s="1">
        <v>45251</v>
      </c>
      <c r="H90">
        <v>44526.27</v>
      </c>
    </row>
    <row r="91" spans="1:8" x14ac:dyDescent="0.35">
      <c r="A91" t="s">
        <v>28</v>
      </c>
      <c r="B91" t="s">
        <v>12</v>
      </c>
      <c r="C91" t="s">
        <v>26</v>
      </c>
      <c r="D91">
        <v>48</v>
      </c>
      <c r="E91">
        <v>25</v>
      </c>
      <c r="F91" s="1">
        <v>45215</v>
      </c>
      <c r="G91" s="1">
        <v>45227</v>
      </c>
      <c r="H91">
        <v>4514.63</v>
      </c>
    </row>
    <row r="92" spans="1:8" x14ac:dyDescent="0.35">
      <c r="A92" t="s">
        <v>36</v>
      </c>
      <c r="B92" t="s">
        <v>14</v>
      </c>
      <c r="C92" t="s">
        <v>21</v>
      </c>
      <c r="D92">
        <v>23</v>
      </c>
      <c r="E92">
        <v>20</v>
      </c>
      <c r="F92" s="1">
        <v>45033</v>
      </c>
      <c r="G92" s="1">
        <v>45038</v>
      </c>
      <c r="H92">
        <v>25418.26</v>
      </c>
    </row>
    <row r="93" spans="1:8" x14ac:dyDescent="0.35">
      <c r="A93" t="s">
        <v>23</v>
      </c>
      <c r="B93" t="s">
        <v>12</v>
      </c>
      <c r="C93" t="s">
        <v>10</v>
      </c>
      <c r="D93">
        <v>6</v>
      </c>
      <c r="E93">
        <v>48</v>
      </c>
      <c r="F93" s="1">
        <v>45118</v>
      </c>
      <c r="G93" s="1">
        <v>45131</v>
      </c>
      <c r="H93">
        <v>46666.48</v>
      </c>
    </row>
    <row r="94" spans="1:8" x14ac:dyDescent="0.35">
      <c r="A94" t="s">
        <v>11</v>
      </c>
      <c r="B94" t="s">
        <v>17</v>
      </c>
      <c r="C94" t="s">
        <v>13</v>
      </c>
      <c r="D94">
        <v>19</v>
      </c>
      <c r="E94">
        <v>152</v>
      </c>
      <c r="F94" s="1">
        <v>45187</v>
      </c>
      <c r="G94" s="1">
        <v>45188</v>
      </c>
      <c r="H94">
        <v>39298.300000000003</v>
      </c>
    </row>
    <row r="95" spans="1:8" x14ac:dyDescent="0.35">
      <c r="A95" t="s">
        <v>33</v>
      </c>
      <c r="B95" t="s">
        <v>35</v>
      </c>
      <c r="C95" t="s">
        <v>26</v>
      </c>
      <c r="D95">
        <v>24</v>
      </c>
      <c r="E95">
        <v>43</v>
      </c>
      <c r="F95" s="1">
        <v>45198</v>
      </c>
      <c r="G95" s="1">
        <v>45200</v>
      </c>
      <c r="H95">
        <v>45451.78</v>
      </c>
    </row>
    <row r="96" spans="1:8" x14ac:dyDescent="0.35">
      <c r="A96" t="s">
        <v>23</v>
      </c>
      <c r="B96" t="s">
        <v>25</v>
      </c>
      <c r="C96" t="s">
        <v>15</v>
      </c>
      <c r="D96">
        <v>43</v>
      </c>
      <c r="E96">
        <v>133</v>
      </c>
      <c r="F96" s="1">
        <v>44953</v>
      </c>
      <c r="G96" s="1">
        <v>44968</v>
      </c>
      <c r="H96">
        <v>24556.18</v>
      </c>
    </row>
    <row r="97" spans="1:8" x14ac:dyDescent="0.35">
      <c r="A97" t="s">
        <v>27</v>
      </c>
      <c r="B97" t="s">
        <v>20</v>
      </c>
      <c r="C97" t="s">
        <v>22</v>
      </c>
      <c r="D97">
        <v>20</v>
      </c>
      <c r="E97">
        <v>77</v>
      </c>
      <c r="F97" s="1">
        <v>44992</v>
      </c>
      <c r="G97" s="1">
        <v>45003</v>
      </c>
      <c r="H97">
        <v>7146.07</v>
      </c>
    </row>
    <row r="98" spans="1:8" x14ac:dyDescent="0.35">
      <c r="A98" t="s">
        <v>8</v>
      </c>
      <c r="B98" t="s">
        <v>37</v>
      </c>
      <c r="C98" t="s">
        <v>21</v>
      </c>
      <c r="D98">
        <v>28</v>
      </c>
      <c r="E98">
        <v>126</v>
      </c>
      <c r="F98" s="1">
        <v>45259</v>
      </c>
      <c r="G98" s="1">
        <v>45270</v>
      </c>
      <c r="H98">
        <v>21065.59</v>
      </c>
    </row>
    <row r="99" spans="1:8" x14ac:dyDescent="0.35">
      <c r="A99" t="s">
        <v>16</v>
      </c>
      <c r="B99" t="s">
        <v>25</v>
      </c>
      <c r="C99" t="s">
        <v>26</v>
      </c>
      <c r="D99">
        <v>26</v>
      </c>
      <c r="E99">
        <v>169</v>
      </c>
      <c r="F99" s="1">
        <v>44975</v>
      </c>
      <c r="G99" s="1">
        <v>44976</v>
      </c>
      <c r="H99">
        <v>41677.339999999997</v>
      </c>
    </row>
    <row r="100" spans="1:8" x14ac:dyDescent="0.35">
      <c r="A100" t="s">
        <v>28</v>
      </c>
      <c r="B100" t="s">
        <v>37</v>
      </c>
      <c r="C100" t="s">
        <v>22</v>
      </c>
      <c r="D100">
        <v>40</v>
      </c>
      <c r="E100">
        <v>193</v>
      </c>
      <c r="F100" s="1">
        <v>45231</v>
      </c>
      <c r="G100" s="1">
        <v>45245</v>
      </c>
      <c r="H100">
        <v>47625.7</v>
      </c>
    </row>
    <row r="101" spans="1:8" x14ac:dyDescent="0.35">
      <c r="A101" t="s">
        <v>36</v>
      </c>
      <c r="B101" t="s">
        <v>31</v>
      </c>
      <c r="C101" t="s">
        <v>34</v>
      </c>
      <c r="D101">
        <v>42</v>
      </c>
      <c r="E101">
        <v>163</v>
      </c>
      <c r="F101" s="1">
        <v>45065</v>
      </c>
      <c r="G101" s="1">
        <v>45072</v>
      </c>
      <c r="H101">
        <v>8684.16</v>
      </c>
    </row>
    <row r="102" spans="1:8" x14ac:dyDescent="0.35">
      <c r="A102" t="s">
        <v>28</v>
      </c>
      <c r="B102" t="s">
        <v>37</v>
      </c>
      <c r="C102" t="s">
        <v>18</v>
      </c>
      <c r="D102">
        <v>14</v>
      </c>
      <c r="E102">
        <v>37</v>
      </c>
      <c r="F102" s="1">
        <v>45269</v>
      </c>
      <c r="G102" s="1">
        <v>45275</v>
      </c>
      <c r="H102">
        <v>17213.05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093A470-E78B-46F7-B2CE-74887D2EF35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Dashboard</vt:lpstr>
      <vt:lpstr>Hospital_Data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 khandelwal</dc:creator>
  <cp:lastModifiedBy>Harsh khandelwal</cp:lastModifiedBy>
  <dcterms:created xsi:type="dcterms:W3CDTF">2025-02-26T12:03:55Z</dcterms:created>
  <dcterms:modified xsi:type="dcterms:W3CDTF">2025-02-28T05:46:05Z</dcterms:modified>
</cp:coreProperties>
</file>